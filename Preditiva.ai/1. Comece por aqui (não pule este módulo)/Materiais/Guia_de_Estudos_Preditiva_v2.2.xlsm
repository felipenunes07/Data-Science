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/Desktop/Preditiva.ai/Conteudo/Data_Analytics_Gravado/"/>
    </mc:Choice>
  </mc:AlternateContent>
  <xr:revisionPtr revIDLastSave="0" documentId="8_{6E2640C3-566F-7E45-9E75-9D21E830CD63}" xr6:coauthVersionLast="47" xr6:coauthVersionMax="47" xr10:uidLastSave="{00000000-0000-0000-0000-000000000000}"/>
  <bookViews>
    <workbookView xWindow="0" yWindow="500" windowWidth="51200" windowHeight="28300" xr2:uid="{DDA8A09D-5822-F748-8D5E-2008613E1D5E}"/>
  </bookViews>
  <sheets>
    <sheet name="Guia" sheetId="3" r:id="rId1"/>
    <sheet name="Base" sheetId="1" state="hidden" r:id="rId2"/>
    <sheet name="Plano-Inicio-em" sheetId="4" state="hidden" r:id="rId3"/>
  </sheets>
  <definedNames>
    <definedName name="_xlnm._FilterDatabase" localSheetId="1" hidden="1">Base!$E$1:$I$297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7" i="1" l="1"/>
  <c r="F4" i="4"/>
  <c r="F7" i="4"/>
  <c r="D7" i="4"/>
  <c r="D4" i="4"/>
</calcChain>
</file>

<file path=xl/sharedStrings.xml><?xml version="1.0" encoding="utf-8"?>
<sst xmlns="http://schemas.openxmlformats.org/spreadsheetml/2006/main" count="1506" uniqueCount="341">
  <si>
    <t>Aplicação 1: Vendas de Produtos Bancários</t>
  </si>
  <si>
    <t>Aplicação 2: IDHM dos municípios brasileiros - Parte I</t>
  </si>
  <si>
    <t>Aplicação 2: IDHM dos municípios brasileiros - Parte II</t>
  </si>
  <si>
    <t>Aplicação 3: Marketing de Produto Bancário</t>
  </si>
  <si>
    <t>Aplicação 1: Condições de Vida da População Brasileira</t>
  </si>
  <si>
    <t>Aplicação 2: Probabilidades na Megasena</t>
  </si>
  <si>
    <t>Aplicação 3: Envio de e-mails promocionais</t>
  </si>
  <si>
    <t>Aplicação 4: Checando a Megasena</t>
  </si>
  <si>
    <t>Aplicação 5: Avaliação de Idades</t>
  </si>
  <si>
    <t>Aplicação 1: Validação da qualidade das amostras</t>
  </si>
  <si>
    <t>Aplicação 2: Adequação de automóveis aos suecos - Parte 1</t>
  </si>
  <si>
    <t>Aplicação 3: Conversão de Vendas</t>
  </si>
  <si>
    <t>Aplicação 4: Pesquisa em produtos fitness</t>
  </si>
  <si>
    <t>Aplicação 5: Adequação de automóveis aos suecos - Parte 2</t>
  </si>
  <si>
    <t>Aplicação 6: Estudo de Vendas e Frete em um Marketplace</t>
  </si>
  <si>
    <t>Aplicação 1: Teste de Colesterol dos Colaboradores</t>
  </si>
  <si>
    <t>Aplicação 2: Índice de Desenvolvimento Humano</t>
  </si>
  <si>
    <t>Aplicação 3: Efeito do Álcool no Reflexo de Motoristas</t>
  </si>
  <si>
    <t>Hands On: Base Iris</t>
  </si>
  <si>
    <t>Exercício 1 - Formatação de células e Texto para Colunas</t>
  </si>
  <si>
    <t>Exercício 2 - Fórmulas e Funções do Excel</t>
  </si>
  <si>
    <t>Exercício 3 - Gráficos</t>
  </si>
  <si>
    <t>Aplicação SQL: SELECT, WHERE e ORDER BY</t>
  </si>
  <si>
    <t>Aplicação Power BI: Criando seu primeiro Dashboard</t>
  </si>
  <si>
    <t>Aplicação SQL: CASE WHEN e GROUP BY</t>
  </si>
  <si>
    <t>Aulas</t>
  </si>
  <si>
    <t>Módulo</t>
  </si>
  <si>
    <t>Link</t>
  </si>
  <si>
    <t>Tempo</t>
  </si>
  <si>
    <t>Tipo_Conteudo</t>
  </si>
  <si>
    <t>Exercicio</t>
  </si>
  <si>
    <t>Aula</t>
  </si>
  <si>
    <t>Id</t>
  </si>
  <si>
    <t>Data</t>
  </si>
  <si>
    <t>Dia da Semana</t>
  </si>
  <si>
    <t>Tipo de Conteúdo</t>
  </si>
  <si>
    <t>Nome do Conteúdo</t>
  </si>
  <si>
    <t>Tempo estimado</t>
  </si>
  <si>
    <t>Links</t>
  </si>
  <si>
    <t>Acesso</t>
  </si>
  <si>
    <t>Dias de estudo disponíveis</t>
  </si>
  <si>
    <t>Data de Início dos estudos (DD/MM/AAAA)</t>
  </si>
  <si>
    <t>Dentro_Trilha_1</t>
  </si>
  <si>
    <t>Dentro_Trilha_2</t>
  </si>
  <si>
    <t>Dentro_Trilha_3</t>
  </si>
  <si>
    <t>Aula 1 - Introdução e Tipos de variáveis</t>
  </si>
  <si>
    <t>Aula 2 - Tabelas de frequências</t>
  </si>
  <si>
    <t>Aula 3 - Interpretando a Média da forma correta</t>
  </si>
  <si>
    <t>Aula 4 - Como utilizar a Mediana?</t>
  </si>
  <si>
    <t>Aula 5 - Outras medidas de posição: Mínimo, Máximo e os Quartis.</t>
  </si>
  <si>
    <t>Aula 6 - Desvio Padrão e Variância</t>
  </si>
  <si>
    <t>Aula 1 - Gráficos de Pizza, Barras, Linhas e Pareto</t>
  </si>
  <si>
    <t>Aula 2 - Gráfico de Histograma</t>
  </si>
  <si>
    <t>Aula 3 - Gráfico de Box Plot</t>
  </si>
  <si>
    <t>Aula 1: Introdução a Probabilidade</t>
  </si>
  <si>
    <t>Aula 2: Teoria Clássica</t>
  </si>
  <si>
    <t>Aula 3: Teoria Clássica - O problema de Mounty Hall</t>
  </si>
  <si>
    <t>Aula 4: Teoria Frequentista</t>
  </si>
  <si>
    <t>Aula 5: Teoria Axiomática</t>
  </si>
  <si>
    <t>Aula 6: Probabilidades - Uma arma poderosa</t>
  </si>
  <si>
    <t>Aula 1: Introdução às Variáveis Aleatórias</t>
  </si>
  <si>
    <t>Aula 2: Variáveis Aleatórias Discretas</t>
  </si>
  <si>
    <t>Aula 3: Distribuição de Probabilidades Uniforme</t>
  </si>
  <si>
    <t>Aula 4: Distribuição de Probabilidades Binomial (Opcional)</t>
  </si>
  <si>
    <t>Aula 5: Distribuição de Probabilidades Poisson (Opcional)</t>
  </si>
  <si>
    <t>Aula 6: Variáveis Aleatórias Contínuas</t>
  </si>
  <si>
    <t>Aula 7: Distribuição de Probabilidades Normal</t>
  </si>
  <si>
    <t>Aula 8: Outras distribuições de probabilidades</t>
  </si>
  <si>
    <t>Aula 1: Conceitos Fundamentais: População, Amostra e Viés</t>
  </si>
  <si>
    <t>Aula 2: Conceitos Fundamentais: Estimadores</t>
  </si>
  <si>
    <t>Aula 3: O importante Teorema do Limite Central</t>
  </si>
  <si>
    <t>Aula 4: Intervalos de Confiança: Estimando a Média da População</t>
  </si>
  <si>
    <t>Aula 5: Intervalos de Confiança: Demonstração</t>
  </si>
  <si>
    <t>Aula 6: Intervalos de Confiança: Estimando a Proporção da População</t>
  </si>
  <si>
    <t>Aula 7: Calculando a Margem de Erro e o Tamanho da Amostra</t>
  </si>
  <si>
    <t>Aula 1: Introdução</t>
  </si>
  <si>
    <t>Aula 2: Demonstração</t>
  </si>
  <si>
    <t>Aula 3: Interpretação do Modelo de Regressão Logística</t>
  </si>
  <si>
    <t>Hands On: Base Iris - Resolução</t>
  </si>
  <si>
    <t>O que são modelos?</t>
  </si>
  <si>
    <t>Para que servem os modelos?</t>
  </si>
  <si>
    <t>Categorias de Modelos</t>
  </si>
  <si>
    <t>Modelos Estatísticos vs. Machine Learning</t>
  </si>
  <si>
    <t>Aula 2: Precision, Recall e F1 Score</t>
  </si>
  <si>
    <t>Aula 3: Sensibilidade e Especificidade</t>
  </si>
  <si>
    <t>Aula 4: AUC</t>
  </si>
  <si>
    <t>Aula 5: KS</t>
  </si>
  <si>
    <t>Aula 6: Introdução</t>
  </si>
  <si>
    <t>Aula 7: Tipos de Validação</t>
  </si>
  <si>
    <t>Aula 8: Validação Cruzada</t>
  </si>
  <si>
    <t>Aula 9: Problemas comuns na validação - Parte I</t>
  </si>
  <si>
    <t>Aula 10: Problemas comuns na validação - Parte II</t>
  </si>
  <si>
    <t>Hands On: Custos de Saúde - Resolução</t>
  </si>
  <si>
    <t>Aula 11: Introdução</t>
  </si>
  <si>
    <t>Aula 12: Técnicas de Regularização</t>
  </si>
  <si>
    <t>Hands On: Probabilidade de Default - Resolução</t>
  </si>
  <si>
    <t>Aula 01 - Estrutura de uma planilha e teclas de função</t>
  </si>
  <si>
    <t>Aula 02 - Formatação de células e "Ir para Especial"</t>
  </si>
  <si>
    <t>Aula 03 - Alça de Preenchimento e o uso de séries numéricas e textuais</t>
  </si>
  <si>
    <t>Aula 04 - Poderoso recurso "Colar Especial"</t>
  </si>
  <si>
    <t>Aula 05 - Separação de textos em colunas</t>
  </si>
  <si>
    <t>Aula 06 - O princípio das fórmulas</t>
  </si>
  <si>
    <t>Aula 07 - Entendendo as referências relativas e absolutas</t>
  </si>
  <si>
    <t>Aula 08 - Formatação condicional</t>
  </si>
  <si>
    <t>Aula 09 - Validação de Dados</t>
  </si>
  <si>
    <t>Aula 10 - O que é uma função?</t>
  </si>
  <si>
    <t>Aula 11 - Funções ESQUERDA(), DIREITA() entre outros</t>
  </si>
  <si>
    <t>Aula 12 - Funções E(), OU() e a função SE()</t>
  </si>
  <si>
    <t>Aula 13 - Função PROCV()</t>
  </si>
  <si>
    <t>Aula 14 - Função ÍNDICE() e CORRESP()</t>
  </si>
  <si>
    <t>Aula 15 - Funções DATA(), MÊS(), ANO(), DIA.DA.SEMANA() entre outros</t>
  </si>
  <si>
    <t>Aula 16 - Funções ARRED(), INT() entre outros</t>
  </si>
  <si>
    <t>Aula 17 - Funções MEDIA(), CONT.VALORES(), CONT.SE(), DESVPAD.P() entre outros</t>
  </si>
  <si>
    <t>Aula 18 - Erros #N/D, #REF, #VALOR, #NUM e outros problemas comuns</t>
  </si>
  <si>
    <t>Aula 19 - O que são e como criar uma tabela dinâmica?</t>
  </si>
  <si>
    <t>Aula 20 - Tabelas de Frequência</t>
  </si>
  <si>
    <t>Aula 21 - Medidas Resumo (Média, Contagens, Variância, Desvio Padrão etc.)</t>
  </si>
  <si>
    <t>Aula 22 - Como inserir e quais são os tipos de gráficos?</t>
  </si>
  <si>
    <t>Aula 23 - Como formatar um gráfico?</t>
  </si>
  <si>
    <t>Aula 24 - Gráficos de Pizza e de Rosca</t>
  </si>
  <si>
    <t>Aula 25 - Gráficos de Barras e Colunas</t>
  </si>
  <si>
    <t>Aula 26 - Gráficos de Linhas</t>
  </si>
  <si>
    <t>Aula 27 - Gráfico de Histograma</t>
  </si>
  <si>
    <t>Aula 28 - Gráfico de Pareto</t>
  </si>
  <si>
    <t>Aula 29 - Gráfico de Caixas Estreitas (Box Plot)</t>
  </si>
  <si>
    <t>Aula 30 - Gráfico de Dispersão (Scatter Plot)</t>
  </si>
  <si>
    <t>Aula 31 - Gráfico de Cascata (Waterfall)</t>
  </si>
  <si>
    <t>Aula 32 - Como escolher o melhor gráfico para sua análise?</t>
  </si>
  <si>
    <t>Aula 33 - Gráficos dinâmicos e segmentação de dados</t>
  </si>
  <si>
    <t>Aula 34 - Como criar Dashboards no Excel?</t>
  </si>
  <si>
    <t>Aula 1 - Fundamentos de BI</t>
  </si>
  <si>
    <t>Aula 2 - Configuração de Client SQL e Instalação do Power BI</t>
  </si>
  <si>
    <t>Aula 3 - SQL: SELECT, WHERE e ORDER BY</t>
  </si>
  <si>
    <t>Aula 4 - Power BI: Interface e Conexão com SQL</t>
  </si>
  <si>
    <t>Aula 5 - Power BI: Criando seu primeiro Dashboard</t>
  </si>
  <si>
    <t>Aula 6 - SQL: CASE WHEN, Operações Aritméticas</t>
  </si>
  <si>
    <t>Aula 7 - SQL: GROUP BY</t>
  </si>
  <si>
    <t>Aula 8 - SQL: Introdução aos JOINS</t>
  </si>
  <si>
    <t>SQL: Tipos de JOINS</t>
  </si>
  <si>
    <t>Aula 9 - Power BI: JOINS</t>
  </si>
  <si>
    <t>Aula 10 - Power BI: Filtros</t>
  </si>
  <si>
    <t>Aula 11 - Power BI: Drill Down</t>
  </si>
  <si>
    <t>Aula 12 - Subqueries</t>
  </si>
  <si>
    <t>Aula 13 - Tabelas Temporárias</t>
  </si>
  <si>
    <t>Aula 14 - Transformações de Data</t>
  </si>
  <si>
    <t>Aula 15 - Transformações de Texto</t>
  </si>
  <si>
    <t>Aula 16 - Transformações Numéricas</t>
  </si>
  <si>
    <t>Aula 17 - Outras Transformações</t>
  </si>
  <si>
    <t>Aula 18 - Power BI: Recursos Adicionais - Parte I</t>
  </si>
  <si>
    <t>Aula 19 - Power BI: Medidas Rápidas</t>
  </si>
  <si>
    <t>Aula 20 - Power BI: DAX - Data Analysis Expressions</t>
  </si>
  <si>
    <t>Aula 2: Estruturas de Controle</t>
  </si>
  <si>
    <t>Aula 3: Organização e Escalada com Funções e Classes</t>
  </si>
  <si>
    <t>Aula 4: Numpy</t>
  </si>
  <si>
    <t>Aula 5: Pandas: Introdução e filtragem de DataFrames</t>
  </si>
  <si>
    <t>Aula 6: Pandas - Concatenação, Merges e Joins de DataFrames</t>
  </si>
  <si>
    <t>Aula 7: Pandas - Agregando e resumindo dados</t>
  </si>
  <si>
    <t>Aula 8: Pandas - Dados faltantes (missing values) e Duplicações</t>
  </si>
  <si>
    <t>Aula 9: Pandas - Tratamento de Variáveis e Datas</t>
  </si>
  <si>
    <t>Aula 10: Matplotlib - Criando gráficos</t>
  </si>
  <si>
    <t>Aula 11: Matplotlib - Tipos de gráficos</t>
  </si>
  <si>
    <t>Aula 12: Matplotlib - Matriz de gráficos (subplots)</t>
  </si>
  <si>
    <t>Aula 13: Matplotlib - Gráficos com o Seaborn</t>
  </si>
  <si>
    <t>Aula 15: Scikit-Learn - Redução de Dimensionalidade, Classificação e Regressão</t>
  </si>
  <si>
    <t>(Opcional) Aula 16: Scikit-Learn: Clusterização e Seleção de Modelos</t>
  </si>
  <si>
    <t>(Opcional) Aula 17: Introdução ao H2O</t>
  </si>
  <si>
    <t>Aula 1: Overview do CRISP-DM</t>
  </si>
  <si>
    <t>Aula 2: Entendimento do Negócio</t>
  </si>
  <si>
    <t>Aula 3: Entendimento dos Dados</t>
  </si>
  <si>
    <t>Aula 4: Preparação dos Dados</t>
  </si>
  <si>
    <t>Aula 5: Desenvolvendo o estudo ou modelo - Parte 1</t>
  </si>
  <si>
    <t>Aula 6: Desenvolvendo o estudo ou modelo - Parte 2</t>
  </si>
  <si>
    <t>Aula 7: Validação do Trabalho</t>
  </si>
  <si>
    <t>Aula 8: Deploy - Implantação</t>
  </si>
  <si>
    <t>Aula 9: Considerações Finais</t>
  </si>
  <si>
    <t>Aula 1: Mensurando o potencial de um projeto de dados</t>
  </si>
  <si>
    <t>Aula 2: Mensurando o impacto gerado após a implantação</t>
  </si>
  <si>
    <t>Concluído?</t>
  </si>
  <si>
    <t xml:space="preserve">Tempo disponível 
por dia de estudo </t>
  </si>
  <si>
    <t>Data de início do plano de estudos</t>
  </si>
  <si>
    <t>Progresso</t>
  </si>
  <si>
    <t>Não</t>
  </si>
  <si>
    <t>Aula - Regressão Linear Múltipla (parte 1)</t>
  </si>
  <si>
    <t>Aula - Regressão Linear Múltipla (parte 2)</t>
  </si>
  <si>
    <t>Aula 1: Estruturas de Dados (parte 1)</t>
  </si>
  <si>
    <t>Aula 1: Estruturas de Dados (parte 2)</t>
  </si>
  <si>
    <t>Aula 14: Scikit-Learn - Preparação dos Dados (parte 1)</t>
  </si>
  <si>
    <t>Aula 14: Scikit-Learn - Preparação dos Dados (parte 2)</t>
  </si>
  <si>
    <t>Microsoft Excel para Analytics</t>
  </si>
  <si>
    <t>Como resumir e interpretar os dados?</t>
  </si>
  <si>
    <t>Análise de Correlação e Associação</t>
  </si>
  <si>
    <t>Prevendo o futuro</t>
  </si>
  <si>
    <t>Prevendo o futuro - Parte 2</t>
  </si>
  <si>
    <t>Como estimar medidas com poucos dados</t>
  </si>
  <si>
    <t>Testes A/B (Testes de Hipóteses</t>
  </si>
  <si>
    <t>Regressão Linear Múltipla</t>
  </si>
  <si>
    <t>Regressão Logística</t>
  </si>
  <si>
    <t>Tópicos de Data Science</t>
  </si>
  <si>
    <t>Diagnóstico de Modelos</t>
  </si>
  <si>
    <t>Fundamentos de BI, Extração e Visualização de Dados usando SQL e Power BI</t>
  </si>
  <si>
    <t>Python para Análise de Dados</t>
  </si>
  <si>
    <t>Método CRISP-DM</t>
  </si>
  <si>
    <t>Calculando o Valor de um Projeto de Dados e Apresentando os Resultados</t>
  </si>
  <si>
    <t>Hands On: Detecção de Diabetes</t>
  </si>
  <si>
    <t>Hands On: Custos de Saúde</t>
  </si>
  <si>
    <t>Aula 13: Introdução</t>
  </si>
  <si>
    <t>Aula 14: Demonstração Redes Neurais Artificiais</t>
  </si>
  <si>
    <t>Aula 15: Demonstração Random Forest</t>
  </si>
  <si>
    <t>Aula 16: Demonstração Gradient Boosting</t>
  </si>
  <si>
    <t>Hands On: Ofensores na Concessão de Crédito</t>
  </si>
  <si>
    <t>Hands On: Ofensores na Concessão de Crédito - Resolução</t>
  </si>
  <si>
    <t>Aula 1: Overview</t>
  </si>
  <si>
    <t>Aula 2: Definição e Gráficos</t>
  </si>
  <si>
    <t>Aula 3: Funções Lineares e por Partes</t>
  </si>
  <si>
    <t>Aula 4: Funções Polinomiais e Exponenciais</t>
  </si>
  <si>
    <t>Aula 5: Funções Compostas</t>
  </si>
  <si>
    <t>Aula 6: Funções de duas ou mais variáveis</t>
  </si>
  <si>
    <t>Aula 7: O problema da tangente</t>
  </si>
  <si>
    <t>Aula 8: O limite de uma função</t>
  </si>
  <si>
    <t>Aula 9: Continuidade</t>
  </si>
  <si>
    <t>Aula 10: A derivada como uma função</t>
  </si>
  <si>
    <t>Aula 11: Regras de diferenciação</t>
  </si>
  <si>
    <t>Aula 12: Derivadas Parciais</t>
  </si>
  <si>
    <t>Aula 13: Derivadas Direcionais</t>
  </si>
  <si>
    <t>Aula 15: Matrizes e suas operações</t>
  </si>
  <si>
    <t>Aula 16: Sistemas Lineares</t>
  </si>
  <si>
    <t>Aula 17: Vetores e suas operações</t>
  </si>
  <si>
    <t>Aula 18: Overview sobre Otimização</t>
  </si>
  <si>
    <t>Aula 19: O Método Simplex</t>
  </si>
  <si>
    <t>Aula 20: Otimização Não Linear</t>
  </si>
  <si>
    <t>Aula 21: Algoritmos de Descida</t>
  </si>
  <si>
    <t>Aula 22: O Método Gradient Descent</t>
  </si>
  <si>
    <t>Aula 2: Múltiplas variáveis explicativas</t>
  </si>
  <si>
    <t>Aula 3: Multicolinearidade</t>
  </si>
  <si>
    <t>Hands On 1: Multicolinearidade</t>
  </si>
  <si>
    <t>Aula 4: Utilizando variáveis explicativas qualitativas</t>
  </si>
  <si>
    <t>Hands On 2: Variáveis explicativas qualitativas</t>
  </si>
  <si>
    <t>Aula 5: Diagnóstico do modelo</t>
  </si>
  <si>
    <t>Hands On 3: Diagnóstico do Modelo</t>
  </si>
  <si>
    <t>Hands On 1: Multicolinearidade - Resolução</t>
  </si>
  <si>
    <t>Hands On 2: Variáveis explicativas qualitativas - Resolução</t>
  </si>
  <si>
    <t>Hands On 3: Diagnóstico do Modelo - Resolução</t>
  </si>
  <si>
    <t>Aula 1: Valores faltantes ou Missing Values</t>
  </si>
  <si>
    <t>Aula 2: Dados duplicados</t>
  </si>
  <si>
    <t>Aula 3: Conversão de tipos de dados</t>
  </si>
  <si>
    <t>Aula 4: Transformações de Colunas e Linhas</t>
  </si>
  <si>
    <t>Aula 2: Modelos de Classificação</t>
  </si>
  <si>
    <t>Aula 3: Modelos de Classificação - Demonstração</t>
  </si>
  <si>
    <t>Hands On 1: Probabilidade de Turnover</t>
  </si>
  <si>
    <t>Aula 4: Modelos de Regressão</t>
  </si>
  <si>
    <t>Hands On 2: Salário dos Colaboradores</t>
  </si>
  <si>
    <t>Aula 5: Confiabilidade e Generalização</t>
  </si>
  <si>
    <t>Hands On 3: Confiabilidade e Generalização</t>
  </si>
  <si>
    <t>Hands On 1: Probabilidade de Turnover - Resolução</t>
  </si>
  <si>
    <t>Hands On 2: Salário dos Colaboradores - Resolução</t>
  </si>
  <si>
    <t>Hands On 1: Melhorando a Concessão de Crédito</t>
  </si>
  <si>
    <t>Aula 2: Random Forest e outros</t>
  </si>
  <si>
    <t>Hands On 2: Classificando a Renda dos Norte Americanos</t>
  </si>
  <si>
    <t>Aula 3: AdaBoost e Gradient Boosting</t>
  </si>
  <si>
    <t>Aula 4: Demonstração</t>
  </si>
  <si>
    <t>Hands On 3: Recomendando Bons Vinhos</t>
  </si>
  <si>
    <t>Hands On 1: Melhorando a Concessão de Crédito - Resolução</t>
  </si>
  <si>
    <t>Hands On 2: Classificando a Renda dos Norte Americanos - Resolução</t>
  </si>
  <si>
    <t>Hands On 3: Recomendando Bons Vinhos - Resolução</t>
  </si>
  <si>
    <t>Aula 1: K-Means - Introdução</t>
  </si>
  <si>
    <t>Aula 2: K-Means - Demonstração</t>
  </si>
  <si>
    <t>Hands On: Pagamento de Dívida - Resolução</t>
  </si>
  <si>
    <t>Aula 1: PCA - Introdução</t>
  </si>
  <si>
    <t>Aula 2: PCA - Demonstração</t>
  </si>
  <si>
    <t>Aula 3: AutoEncoder</t>
  </si>
  <si>
    <t>Aula 4: t-SNE</t>
  </si>
  <si>
    <t>Hands On: Grupos de Vinhos</t>
  </si>
  <si>
    <t>Aula 1: Isolation Forest - Introdução</t>
  </si>
  <si>
    <t>Aula 2: Isolation Forest - Demonstração</t>
  </si>
  <si>
    <t>Hands On: Prevenção a Fraudes</t>
  </si>
  <si>
    <t>Aula 2: Hiperparâmetros e Aprendizagem</t>
  </si>
  <si>
    <t>Hands On: Probabilidade de Doença Cardíaca</t>
  </si>
  <si>
    <t>Hands On: Probabilidade de Doença Cardíaca - Resolvido</t>
  </si>
  <si>
    <t>Aula 2: Random Search</t>
  </si>
  <si>
    <t>Aula 3: Grid Search</t>
  </si>
  <si>
    <t>Aula 4: Bayesian Optimization</t>
  </si>
  <si>
    <t>Hands On: Estado da Arte na Concessão de Crédito</t>
  </si>
  <si>
    <t>Hands On: Estado da Arte na Concessão de Crédito - Resolução</t>
  </si>
  <si>
    <t>Aula 5: Introdução</t>
  </si>
  <si>
    <t>Aula 6: Oversampling</t>
  </si>
  <si>
    <t>Aula 7: Undersampling</t>
  </si>
  <si>
    <t>Hands On: Fraudes no Cartão de Crédito</t>
  </si>
  <si>
    <t>Aula 2: Preparação dos Textos</t>
  </si>
  <si>
    <t>Aula 3: Preparação dos Textos - Demonstração</t>
  </si>
  <si>
    <t>Aula 4: Análise Exploratória dos Textos</t>
  </si>
  <si>
    <t>Aula 5: Representação Bag-of-Words</t>
  </si>
  <si>
    <t>Aula 6: Representação TF-IDF</t>
  </si>
  <si>
    <t>Aula 7: Representação Word2Vec - Introdução</t>
  </si>
  <si>
    <t>Aula 8: Representação Word2Vec - Demonstração</t>
  </si>
  <si>
    <t>Aula 9: Modelos de Classificação utilizando Textos</t>
  </si>
  <si>
    <t>Hands On: Análise de Sentimentos</t>
  </si>
  <si>
    <t>Aula 2: Max Pooling e Classificação de Imagens</t>
  </si>
  <si>
    <t>Aula 3: Demonstração</t>
  </si>
  <si>
    <t>Hands On: Dígitos em Árabe</t>
  </si>
  <si>
    <t>Hands On: Dígitos em Árabe - Resolução</t>
  </si>
  <si>
    <t>Aula 4: Outras aplicações de Computer Vision</t>
  </si>
  <si>
    <t>Aula 5: Demonstração de Reconhecimento Facial</t>
  </si>
  <si>
    <t>Nivelamento em Matemática para Data Science</t>
  </si>
  <si>
    <t>Regressão Linear Múltipla no Python</t>
  </si>
  <si>
    <t>Preparação de Dados no Python</t>
  </si>
  <si>
    <t>Árvores de Decisão</t>
  </si>
  <si>
    <t>Ensemble de Modelos no Python</t>
  </si>
  <si>
    <t>Clusterização</t>
  </si>
  <si>
    <t>Redução de Dimensionalidade</t>
  </si>
  <si>
    <t>Redes Neurais Artificiais no Python</t>
  </si>
  <si>
    <t>Otimização de Modelos</t>
  </si>
  <si>
    <t>Detecção de Outliers (anomalias)</t>
  </si>
  <si>
    <t>Processamento de Linguagem Natural (NLP)</t>
  </si>
  <si>
    <t>Visão Computacional (Computer Vision)</t>
  </si>
  <si>
    <t>Aula 14: Valores máximos e mínimos de funções - Parte 1</t>
  </si>
  <si>
    <t>Aula 14: Valores máximos e mínimos de funções - Parte 2</t>
  </si>
  <si>
    <t>Aula 5: Estudo de Caso - Qualidade na Central de Atendimento - Parte 1</t>
  </si>
  <si>
    <t>Aula 5: Estudo de Caso - Qualidade na Central de Atendimento - Parte 2</t>
  </si>
  <si>
    <t>Aula 3: Modelos de Classificação - Parte 1</t>
  </si>
  <si>
    <t>Aula 3: Modelos de Classificação - Parte 2</t>
  </si>
  <si>
    <t>Nível de especialização</t>
  </si>
  <si>
    <t>Hands On: Detecção de Diabetes - Resolução - parte 1</t>
  </si>
  <si>
    <t>Hands On: Detecção de Diabetes - Resolução - parte 2</t>
  </si>
  <si>
    <t>Nível</t>
  </si>
  <si>
    <t>Tempo estimado para finalizar este nível (h:min:seg)</t>
  </si>
  <si>
    <t>Data estimada para o fim do nível</t>
  </si>
  <si>
    <t>Aula 1 - Correlação Pearson</t>
  </si>
  <si>
    <t>Aula 2 - Demonstração: Correlação Pearson</t>
  </si>
  <si>
    <t>Aula 3 - Information Value: Uma das melhores medidas de associação!</t>
  </si>
  <si>
    <t>Aula 4 - Demonstração: Information Value</t>
  </si>
  <si>
    <t>Aula 5 - R Quadrado: Coeficiente de Determinação</t>
  </si>
  <si>
    <t>Aula 6 - Correlação vs. Causalidade</t>
  </si>
  <si>
    <t>Aula 1: Introdução aos Testes de Hipóteses</t>
  </si>
  <si>
    <t>Aula 2: Teste de Hipóteses para Média de 1 população</t>
  </si>
  <si>
    <t>Aula 3: Testes de Hipóteses para Média e Variância de 2 populações</t>
  </si>
  <si>
    <t>Aula 4: Teste de Hipóteses para Média de 2 populações pareadas</t>
  </si>
  <si>
    <t>Aula 5: Teste de Hipóteses para Proporção de 2 populações</t>
  </si>
  <si>
    <t>Aula 6: Revisão dos Testes de Hipóteses</t>
  </si>
  <si>
    <t>Aula 7: A importância do Método Científico</t>
  </si>
  <si>
    <t>Aula 3: Apresentando um projeto de dados - Parte 1</t>
  </si>
  <si>
    <t>Aula 4: Apresentando um projeto de dados - Parte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</si>
</sst>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ddd"/>
    <numFmt numFmtId="166" formatCode="h:mm:ss;@"/>
  </numFmts>
  <fonts count="2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.5"/>
      <color rgb="FF121212"/>
      <name val="Arial"/>
      <family val="2"/>
    </font>
    <font>
      <b/>
      <sz val="13.5"/>
      <color rgb="FF121212"/>
      <name val="Arial"/>
      <family val="2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121212"/>
      <name val="Arial"/>
      <family val="2"/>
    </font>
    <font>
      <sz val="24"/>
      <color theme="1"/>
      <name val="Webdings"/>
      <charset val="2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48"/>
      <color rgb="FF0070C0"/>
      <name val="Calibri"/>
      <family val="2"/>
      <scheme val="minor"/>
    </font>
    <font>
      <b/>
      <sz val="20"/>
      <color rgb="FF121212"/>
      <name val="Arial"/>
      <family val="2"/>
    </font>
    <font>
      <sz val="20"/>
      <name val="Calibri"/>
      <family val="2"/>
      <scheme val="minor"/>
    </font>
    <font>
      <sz val="13.5"/>
      <name val="Arial"/>
      <family val="2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sz val="24"/>
      <name val="Webdings"/>
      <charset val="2"/>
    </font>
    <font>
      <sz val="18"/>
      <name val="Calibri"/>
      <family val="2"/>
    </font>
    <font>
      <b/>
      <sz val="18"/>
      <color rgb="FF00B050"/>
      <name val="Calibri"/>
      <family val="2"/>
    </font>
    <font>
      <sz val="12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13.5"/>
      <color rgb="FF1212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14" fontId="6" fillId="0" borderId="0" xfId="0" applyNumberFormat="1" applyFont="1" applyAlignment="1" applyProtection="1">
      <alignment horizontal="center"/>
      <protection hidden="1"/>
    </xf>
    <xf numFmtId="164" fontId="6" fillId="0" borderId="0" xfId="0" applyNumberFormat="1" applyFont="1" applyAlignment="1" applyProtection="1">
      <alignment horizontal="center"/>
      <protection hidden="1"/>
    </xf>
    <xf numFmtId="9" fontId="13" fillId="0" borderId="0" xfId="2" applyFont="1" applyAlignment="1" applyProtection="1">
      <alignment horizontal="center"/>
      <protection hidden="1"/>
    </xf>
    <xf numFmtId="165" fontId="6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2" fillId="0" borderId="0" xfId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4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shrinkToFit="1"/>
      <protection locked="0"/>
    </xf>
    <xf numFmtId="164" fontId="0" fillId="0" borderId="0" xfId="0" applyNumberFormat="1" applyAlignment="1" applyProtection="1">
      <alignment shrinkToFit="1"/>
      <protection locked="0"/>
    </xf>
    <xf numFmtId="0" fontId="2" fillId="0" borderId="0" xfId="1" applyAlignment="1" applyProtection="1">
      <alignment horizontal="center" shrinkToFit="1"/>
      <protection locked="0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14" fontId="16" fillId="0" borderId="0" xfId="0" applyNumberFormat="1" applyFont="1" applyAlignment="1" applyProtection="1">
      <alignment horizontal="center" vertical="center"/>
      <protection locked="0"/>
    </xf>
    <xf numFmtId="165" fontId="16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shrinkToFit="1"/>
      <protection locked="0"/>
    </xf>
    <xf numFmtId="0" fontId="18" fillId="0" borderId="0" xfId="0" applyFont="1" applyAlignment="1" applyProtection="1">
      <alignment shrinkToFit="1"/>
      <protection locked="0"/>
    </xf>
    <xf numFmtId="164" fontId="18" fillId="0" borderId="0" xfId="0" applyNumberFormat="1" applyFont="1" applyAlignment="1" applyProtection="1">
      <alignment shrinkToFit="1"/>
      <protection locked="0"/>
    </xf>
    <xf numFmtId="0" fontId="19" fillId="0" borderId="0" xfId="1" applyFont="1" applyAlignment="1" applyProtection="1">
      <alignment horizontal="center" shrinkToFit="1"/>
      <protection locked="0"/>
    </xf>
    <xf numFmtId="0" fontId="20" fillId="0" borderId="0" xfId="0" applyFont="1" applyAlignment="1" applyProtection="1">
      <alignment horizontal="center" vertical="center" shrinkToFit="1"/>
      <protection locked="0"/>
    </xf>
    <xf numFmtId="0" fontId="21" fillId="0" borderId="0" xfId="0" applyFont="1" applyAlignment="1" applyProtection="1">
      <alignment horizontal="center" vertical="center" shrinkToFit="1"/>
      <protection locked="0"/>
    </xf>
    <xf numFmtId="0" fontId="22" fillId="0" borderId="0" xfId="0" applyFont="1" applyAlignment="1" applyProtection="1">
      <alignment horizontal="center" vertical="center" shrinkToFit="1"/>
      <protection locked="0"/>
    </xf>
    <xf numFmtId="0" fontId="11" fillId="0" borderId="0" xfId="0" applyFont="1" applyProtection="1">
      <protection locked="0"/>
    </xf>
    <xf numFmtId="1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166" fontId="0" fillId="0" borderId="0" xfId="0" applyNumberFormat="1"/>
    <xf numFmtId="0" fontId="2" fillId="0" borderId="0" xfId="1" applyAlignment="1">
      <alignment horizontal="center"/>
    </xf>
    <xf numFmtId="0" fontId="25" fillId="0" borderId="0" xfId="0" applyFont="1"/>
    <xf numFmtId="0" fontId="0" fillId="0" borderId="0" xfId="0" applyAlignment="1" applyProtection="1">
      <alignment horizontal="center" shrinkToFit="1"/>
      <protection locked="0"/>
    </xf>
    <xf numFmtId="0" fontId="24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7" tint="0.79998168889431442"/>
        </patternFill>
      </fill>
    </dxf>
    <dxf>
      <fill>
        <patternFill>
          <fgColor auto="1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A$1" lockText="1" noThreeD="1"/>
</file>

<file path=xl/ctrlProps/ctrlProp2.xml><?xml version="1.0" encoding="utf-8"?>
<formControlPr xmlns="http://schemas.microsoft.com/office/spreadsheetml/2009/9/main" objectType="CheckBox" checked="Checked" fmlaLink="$A$2" lockText="1" noThreeD="1"/>
</file>

<file path=xl/ctrlProps/ctrlProp3.xml><?xml version="1.0" encoding="utf-8"?>
<formControlPr xmlns="http://schemas.microsoft.com/office/spreadsheetml/2009/9/main" objectType="CheckBox" checked="Checked" fmlaLink="$A$3" lockText="1" noThreeD="1"/>
</file>

<file path=xl/ctrlProps/ctrlProp4.xml><?xml version="1.0" encoding="utf-8"?>
<formControlPr xmlns="http://schemas.microsoft.com/office/spreadsheetml/2009/9/main" objectType="CheckBox" checked="Checked" fmlaLink="$A$4" lockText="1" noThreeD="1"/>
</file>

<file path=xl/ctrlProps/ctrlProp5.xml><?xml version="1.0" encoding="utf-8"?>
<formControlPr xmlns="http://schemas.microsoft.com/office/spreadsheetml/2009/9/main" objectType="CheckBox" checked="Checked" fmlaLink="$A$5" lockText="1" noThreeD="1"/>
</file>

<file path=xl/ctrlProps/ctrlProp6.xml><?xml version="1.0" encoding="utf-8"?>
<formControlPr xmlns="http://schemas.microsoft.com/office/spreadsheetml/2009/9/main" objectType="CheckBox" fmlaLink="$A$6" lockText="1" noThreeD="1"/>
</file>

<file path=xl/ctrlProps/ctrlProp7.xml><?xml version="1.0" encoding="utf-8"?>
<formControlPr xmlns="http://schemas.microsoft.com/office/spreadsheetml/2009/9/main" objectType="CheckBox" fmlaLink="$A$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Guia!D12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17</xdr:row>
          <xdr:rowOff>114300</xdr:rowOff>
        </xdr:from>
        <xdr:to>
          <xdr:col>2</xdr:col>
          <xdr:colOff>482600</xdr:colOff>
          <xdr:row>18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17</xdr:row>
          <xdr:rowOff>114300</xdr:rowOff>
        </xdr:from>
        <xdr:to>
          <xdr:col>3</xdr:col>
          <xdr:colOff>215900</xdr:colOff>
          <xdr:row>18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17</xdr:row>
          <xdr:rowOff>114300</xdr:rowOff>
        </xdr:from>
        <xdr:to>
          <xdr:col>3</xdr:col>
          <xdr:colOff>901700</xdr:colOff>
          <xdr:row>18</xdr:row>
          <xdr:rowOff>152400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977900</xdr:colOff>
          <xdr:row>17</xdr:row>
          <xdr:rowOff>114300</xdr:rowOff>
        </xdr:from>
        <xdr:to>
          <xdr:col>3</xdr:col>
          <xdr:colOff>1638300</xdr:colOff>
          <xdr:row>18</xdr:row>
          <xdr:rowOff>152400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Qui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1689100</xdr:colOff>
          <xdr:row>17</xdr:row>
          <xdr:rowOff>114300</xdr:rowOff>
        </xdr:from>
        <xdr:to>
          <xdr:col>3</xdr:col>
          <xdr:colOff>2336800</xdr:colOff>
          <xdr:row>18</xdr:row>
          <xdr:rowOff>152400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2336800</xdr:colOff>
          <xdr:row>17</xdr:row>
          <xdr:rowOff>114300</xdr:rowOff>
        </xdr:from>
        <xdr:to>
          <xdr:col>4</xdr:col>
          <xdr:colOff>596900</xdr:colOff>
          <xdr:row>18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Sáb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17</xdr:row>
          <xdr:rowOff>114300</xdr:rowOff>
        </xdr:from>
        <xdr:to>
          <xdr:col>5</xdr:col>
          <xdr:colOff>533400</xdr:colOff>
          <xdr:row>18</xdr:row>
          <xdr:rowOff>152400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213562</xdr:colOff>
      <xdr:row>22</xdr:row>
      <xdr:rowOff>48094</xdr:rowOff>
    </xdr:from>
    <xdr:to>
      <xdr:col>3</xdr:col>
      <xdr:colOff>2186598</xdr:colOff>
      <xdr:row>24</xdr:row>
      <xdr:rowOff>107039</xdr:rowOff>
    </xdr:to>
    <xdr:sp macro="[0]!gera_plan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69909" y="4489292"/>
          <a:ext cx="1973036" cy="46960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Gerar plano de estudo</a:t>
          </a:r>
        </a:p>
      </xdr:txBody>
    </xdr:sp>
    <xdr:clientData/>
  </xdr:twoCellAnchor>
  <xdr:twoCellAnchor editAs="oneCell">
    <xdr:from>
      <xdr:col>0</xdr:col>
      <xdr:colOff>140246</xdr:colOff>
      <xdr:row>0</xdr:row>
      <xdr:rowOff>155828</xdr:rowOff>
    </xdr:from>
    <xdr:to>
      <xdr:col>3</xdr:col>
      <xdr:colOff>381780</xdr:colOff>
      <xdr:row>3</xdr:row>
      <xdr:rowOff>212427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246" y="155828"/>
          <a:ext cx="2695828" cy="664329"/>
        </a:xfrm>
        <a:prstGeom prst="rect">
          <a:avLst/>
        </a:prstGeom>
      </xdr:spPr>
    </xdr:pic>
    <xdr:clientData/>
  </xdr:twoCellAnchor>
  <xdr:oneCellAnchor>
    <xdr:from>
      <xdr:col>3</xdr:col>
      <xdr:colOff>897181</xdr:colOff>
      <xdr:row>0</xdr:row>
      <xdr:rowOff>136504</xdr:rowOff>
    </xdr:from>
    <xdr:ext cx="3711016" cy="718466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351475" y="136504"/>
          <a:ext cx="371101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4000" b="1">
              <a:solidFill>
                <a:srgbClr val="0070C0"/>
              </a:solidFill>
            </a:rPr>
            <a:t>Guia de Estudos</a:t>
          </a:r>
        </a:p>
      </xdr:txBody>
    </xdr:sp>
    <xdr:clientData/>
  </xdr:oneCellAnchor>
  <xdr:twoCellAnchor>
    <xdr:from>
      <xdr:col>1</xdr:col>
      <xdr:colOff>264909</xdr:colOff>
      <xdr:row>8</xdr:row>
      <xdr:rowOff>124663</xdr:rowOff>
    </xdr:from>
    <xdr:to>
      <xdr:col>5</xdr:col>
      <xdr:colOff>747976</xdr:colOff>
      <xdr:row>27</xdr:row>
      <xdr:rowOff>132454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11596" y="1114172"/>
          <a:ext cx="5399447" cy="4519018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397363</xdr:colOff>
      <xdr:row>13</xdr:row>
      <xdr:rowOff>0</xdr:rowOff>
    </xdr:from>
    <xdr:to>
      <xdr:col>6</xdr:col>
      <xdr:colOff>763559</xdr:colOff>
      <xdr:row>14</xdr:row>
      <xdr:rowOff>210368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235829" y="2033558"/>
          <a:ext cx="2703620" cy="63889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Para</a:t>
          </a:r>
          <a:r>
            <a:rPr lang="pt-BR" sz="1100" baseline="0"/>
            <a:t> melhores resultados, sugerimos que você estude pelo menos 30min por dia. O ideal é 1h a 1h30.</a:t>
          </a:r>
          <a:endParaRPr lang="pt-BR" sz="1100"/>
        </a:p>
      </xdr:txBody>
    </xdr:sp>
    <xdr:clientData/>
  </xdr:twoCellAnchor>
  <xdr:twoCellAnchor>
    <xdr:from>
      <xdr:col>4</xdr:col>
      <xdr:colOff>405154</xdr:colOff>
      <xdr:row>20</xdr:row>
      <xdr:rowOff>163620</xdr:rowOff>
    </xdr:from>
    <xdr:to>
      <xdr:col>6</xdr:col>
      <xdr:colOff>771350</xdr:colOff>
      <xdr:row>21</xdr:row>
      <xdr:rowOff>202577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243620" y="3903497"/>
          <a:ext cx="2703620" cy="467485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Escolha a</a:t>
          </a:r>
          <a:r>
            <a:rPr lang="pt-BR" sz="1100" baseline="0"/>
            <a:t> data em que vai começar a estudar os materiais do curso.</a:t>
          </a:r>
          <a:endParaRPr lang="pt-BR" sz="1100"/>
        </a:p>
      </xdr:txBody>
    </xdr:sp>
    <xdr:clientData/>
  </xdr:twoCellAnchor>
  <xdr:twoCellAnchor>
    <xdr:from>
      <xdr:col>4</xdr:col>
      <xdr:colOff>397363</xdr:colOff>
      <xdr:row>9</xdr:row>
      <xdr:rowOff>179202</xdr:rowOff>
    </xdr:from>
    <xdr:to>
      <xdr:col>6</xdr:col>
      <xdr:colOff>763559</xdr:colOff>
      <xdr:row>11</xdr:row>
      <xdr:rowOff>210368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35829" y="1371288"/>
          <a:ext cx="2703620" cy="45190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No Portal do Aluno você encontra uma explicação para os</a:t>
          </a:r>
          <a:r>
            <a:rPr lang="pt-BR" sz="1100" baseline="0"/>
            <a:t> níveis disponiveis.</a:t>
          </a:r>
          <a:endParaRPr lang="pt-BR" sz="1100"/>
        </a:p>
      </xdr:txBody>
    </xdr:sp>
    <xdr:clientData/>
  </xdr:twoCellAnchor>
  <xdr:twoCellAnchor>
    <xdr:from>
      <xdr:col>4</xdr:col>
      <xdr:colOff>405154</xdr:colOff>
      <xdr:row>22</xdr:row>
      <xdr:rowOff>59267</xdr:rowOff>
    </xdr:from>
    <xdr:to>
      <xdr:col>6</xdr:col>
      <xdr:colOff>771350</xdr:colOff>
      <xdr:row>24</xdr:row>
      <xdr:rowOff>123624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56554" y="4546600"/>
          <a:ext cx="2711463" cy="47075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C00000"/>
              </a:solidFill>
            </a:rPr>
            <a:t>Habilite as Macros/VBA do Excel para</a:t>
          </a:r>
          <a:r>
            <a:rPr lang="pt-BR" sz="1100" baseline="0">
              <a:solidFill>
                <a:srgbClr val="C00000"/>
              </a:solidFill>
            </a:rPr>
            <a:t> gerar o plano de estudos</a:t>
          </a:r>
          <a:endParaRPr lang="pt-BR" sz="1100">
            <a:solidFill>
              <a:srgbClr val="C00000"/>
            </a:solidFill>
          </a:endParaRPr>
        </a:p>
      </xdr:txBody>
    </xdr:sp>
    <xdr:clientData/>
  </xdr:twoCellAnchor>
  <xdr:oneCellAnchor>
    <xdr:from>
      <xdr:col>5</xdr:col>
      <xdr:colOff>1185334</xdr:colOff>
      <xdr:row>3</xdr:row>
      <xdr:rowOff>16934</xdr:rowOff>
    </xdr:from>
    <xdr:ext cx="426976" cy="264431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749522" y="636059"/>
          <a:ext cx="426976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v2.2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190501</xdr:rowOff>
    </xdr:from>
    <xdr:to>
      <xdr:col>3</xdr:col>
      <xdr:colOff>647700</xdr:colOff>
      <xdr:row>0</xdr:row>
      <xdr:rowOff>1104357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0" y="190501"/>
          <a:ext cx="3708400" cy="913856"/>
        </a:xfrm>
        <a:prstGeom prst="rect">
          <a:avLst/>
        </a:prstGeom>
      </xdr:spPr>
    </xdr:pic>
    <xdr:clientData/>
  </xdr:twoCellAnchor>
  <xdr:twoCellAnchor>
    <xdr:from>
      <xdr:col>0</xdr:col>
      <xdr:colOff>812800</xdr:colOff>
      <xdr:row>1</xdr:row>
      <xdr:rowOff>127000</xdr:rowOff>
    </xdr:from>
    <xdr:to>
      <xdr:col>8</xdr:col>
      <xdr:colOff>381000</xdr:colOff>
      <xdr:row>1</xdr:row>
      <xdr:rowOff>127000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812800" y="2133600"/>
          <a:ext cx="2025650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1130300</xdr:colOff>
      <xdr:row>0</xdr:row>
      <xdr:rowOff>241300</xdr:rowOff>
    </xdr:from>
    <xdr:ext cx="11783354" cy="71846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334000" y="241300"/>
          <a:ext cx="11783354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4000" b="1">
              <a:solidFill>
                <a:srgbClr val="0070C0"/>
              </a:solidFill>
            </a:rPr>
            <a:t>Guia de Estudos - Formação Gerando Valor</a:t>
          </a:r>
          <a:r>
            <a:rPr lang="pt-BR" sz="4000" b="1" baseline="0">
              <a:solidFill>
                <a:srgbClr val="0070C0"/>
              </a:solidFill>
            </a:rPr>
            <a:t> com Dados</a:t>
          </a:r>
          <a:endParaRPr lang="pt-BR" sz="4000" b="1">
            <a:solidFill>
              <a:srgbClr val="0070C0"/>
            </a:solidFill>
          </a:endParaRPr>
        </a:p>
      </xdr:txBody>
    </xdr:sp>
    <xdr:clientData/>
  </xdr:oneCellAnchor>
  <xdr:twoCellAnchor>
    <xdr:from>
      <xdr:col>2</xdr:col>
      <xdr:colOff>711200</xdr:colOff>
      <xdr:row>1</xdr:row>
      <xdr:rowOff>330200</xdr:rowOff>
    </xdr:from>
    <xdr:to>
      <xdr:col>6</xdr:col>
      <xdr:colOff>1384300</xdr:colOff>
      <xdr:row>7</xdr:row>
      <xdr:rowOff>177800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365500" y="1435100"/>
          <a:ext cx="11455400" cy="1854200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342900</xdr:colOff>
      <xdr:row>0</xdr:row>
      <xdr:rowOff>355600</xdr:rowOff>
    </xdr:from>
    <xdr:to>
      <xdr:col>1</xdr:col>
      <xdr:colOff>355600</xdr:colOff>
      <xdr:row>0</xdr:row>
      <xdr:rowOff>840232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flipH="1">
          <a:off x="342900" y="355600"/>
          <a:ext cx="546100" cy="48463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977900</xdr:colOff>
      <xdr:row>2</xdr:row>
      <xdr:rowOff>76200</xdr:rowOff>
    </xdr:from>
    <xdr:to>
      <xdr:col>9</xdr:col>
      <xdr:colOff>647700</xdr:colOff>
      <xdr:row>6</xdr:row>
      <xdr:rowOff>342900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4414500" y="1663700"/>
          <a:ext cx="4152900" cy="1397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/>
            <a:t>Esta estimativa de</a:t>
          </a:r>
          <a:r>
            <a:rPr lang="pt-BR" sz="2000" baseline="0"/>
            <a:t> carga horária não considera as horas de estudos de caso, aulas de mentorias ao vivo e aulas dos módulos bônus.</a:t>
          </a:r>
          <a:endParaRPr lang="pt-BR" sz="20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ad.preditiva.ai/65583-3-prevendo-o-futuro/1498126-aula-6-probabilidades-uma-arma-poderosa" TargetMode="External"/><Relationship Id="rId21" Type="http://schemas.openxmlformats.org/officeDocument/2006/relationships/hyperlink" Target="https://ead.preditiva.ai/61407-12-python-para-analise-de-dados/1391438-aula-10-matplotlib-criando-graficos" TargetMode="External"/><Relationship Id="rId63" Type="http://schemas.openxmlformats.org/officeDocument/2006/relationships/hyperlink" Target="https://ead.preditiva.ai/65765-9-diagnostico-de-modelos/1502768-aula-8-validacao-cruzada" TargetMode="External"/><Relationship Id="rId159" Type="http://schemas.openxmlformats.org/officeDocument/2006/relationships/hyperlink" Target="https://ead.preditiva.ai/53785-10-microsoft-excel-para-analytics/1368395-aula-19-o-que-sao-e-como-criar-uma-tabela-dinamica" TargetMode="External"/><Relationship Id="rId170" Type="http://schemas.openxmlformats.org/officeDocument/2006/relationships/hyperlink" Target="https://ead.preditiva.ai/53785-10-microsoft-excel-para-analytics/1368366-aula-09-validacao-de-dados" TargetMode="External"/><Relationship Id="rId226" Type="http://schemas.openxmlformats.org/officeDocument/2006/relationships/hyperlink" Target="https://ead.preditiva.ai/61746-13-arvores-de-decisao/1398668-aula-2-modelos-de-classificacao" TargetMode="External"/><Relationship Id="rId268" Type="http://schemas.openxmlformats.org/officeDocument/2006/relationships/hyperlink" Target="https://ead.preditiva.ai/74307-19-otimizacao-de-modelos/1686759-aula-6-oversampling" TargetMode="External"/><Relationship Id="rId32" Type="http://schemas.openxmlformats.org/officeDocument/2006/relationships/hyperlink" Target="https://ead.preditiva.ai/53799-11-fundamentos-de-bi-extracao-e-visualizacao-de-dados-usando-sql-e-power-bi/1368612-aula-19-power-bi-medidas-rapidas" TargetMode="External"/><Relationship Id="rId74" Type="http://schemas.openxmlformats.org/officeDocument/2006/relationships/hyperlink" Target="https://ead.preditiva.ai/57958-8-topicos-de-data-science/1296720-o-que-sao-modelos" TargetMode="External"/><Relationship Id="rId128" Type="http://schemas.openxmlformats.org/officeDocument/2006/relationships/hyperlink" Target="https://ead.preditiva.ai/53582-2-analise-de-correlacao-e-associacao/1183540-aula-12-information-value-uma-das-melhores-medidas-de-associacao" TargetMode="External"/><Relationship Id="rId5" Type="http://schemas.openxmlformats.org/officeDocument/2006/relationships/hyperlink" Target="https://ead.preditiva.ai/53798-13-metodo-crisp-dm/1391415-aula-9-consideracoes-finais" TargetMode="External"/><Relationship Id="rId181" Type="http://schemas.openxmlformats.org/officeDocument/2006/relationships/hyperlink" Target="https://ead.preditiva.ai/65765-9-diagnostico-e-interpretacao-de-modelos/1686449-hands-on-deteccao-de-diabetes-resolucao" TargetMode="External"/><Relationship Id="rId237" Type="http://schemas.openxmlformats.org/officeDocument/2006/relationships/hyperlink" Target="https://ead.preditiva.ai/61748-14-ensemble-de-modelos-no-python/1398699-aula-2-random-forest-e-outros" TargetMode="External"/><Relationship Id="rId279" Type="http://schemas.openxmlformats.org/officeDocument/2006/relationships/hyperlink" Target="https://ead.preditiva.ai/70698-20-processamento-de-linguagem-natural-nlp/1626124-hands-on-analise-de-sentimentos" TargetMode="External"/><Relationship Id="rId43" Type="http://schemas.openxmlformats.org/officeDocument/2006/relationships/hyperlink" Target="https://ead.preditiva.ai/53799-11-fundamentos-de-bi-extracao-e-visualizacao-de-dados-usando-sql-e-power-bi/1341731-sql-tipos-de-joins" TargetMode="External"/><Relationship Id="rId139" Type="http://schemas.openxmlformats.org/officeDocument/2006/relationships/hyperlink" Target="https://ead.preditiva.ai/65572-1-como-resumir-e-interpretar-os-dados/1497965-aula-3-interpretando-a-media-da-forma-correta" TargetMode="External"/><Relationship Id="rId290" Type="http://schemas.openxmlformats.org/officeDocument/2006/relationships/hyperlink" Target="https://ead.preditiva.ai/61410-5-regressao-linear-multipla-no-python/1391480-aula-1-introducao" TargetMode="External"/><Relationship Id="rId85" Type="http://schemas.openxmlformats.org/officeDocument/2006/relationships/hyperlink" Target="https://ead.preditiva.ai/65757-5-testes-a-b-testes-de-hipoteses/1502490-aula-13-revisao-dos-testes-de-hipoteses" TargetMode="External"/><Relationship Id="rId150" Type="http://schemas.openxmlformats.org/officeDocument/2006/relationships/hyperlink" Target="https://ead.preditiva.ai/53785-10-microsoft-excel-para-analytics/1368489-aula-28-grafico-de-pareto" TargetMode="External"/><Relationship Id="rId192" Type="http://schemas.openxmlformats.org/officeDocument/2006/relationships/hyperlink" Target="https://ead.preditiva.ai/61891-10-nivelamento-em-matematica-para-data-science/1627371-aula-4-funcoes-polinomiais-e-exponenciais" TargetMode="External"/><Relationship Id="rId206" Type="http://schemas.openxmlformats.org/officeDocument/2006/relationships/hyperlink" Target="https://ead.preditiva.ai/61891-10-nivelamento-em-matematica-para-data-science/1627391-aula-18-overview-sobre-otimizacao" TargetMode="External"/><Relationship Id="rId248" Type="http://schemas.openxmlformats.org/officeDocument/2006/relationships/hyperlink" Target="https://ead.preditiva.ai/70701-16-reducao-de-dimensionalidade/1626140-aula-1-pca-introducao" TargetMode="External"/><Relationship Id="rId12" Type="http://schemas.openxmlformats.org/officeDocument/2006/relationships/hyperlink" Target="https://ead.preditiva.ai/53798-13-metodo-crisp-dm/1391408-aula-2-entendimento-do-negocio" TargetMode="External"/><Relationship Id="rId33" Type="http://schemas.openxmlformats.org/officeDocument/2006/relationships/hyperlink" Target="https://ead.preditiva.ai/53799-11-fundamentos-de-bi-extracao-e-visualizacao-de-dados-usando-sql-e-power-bi/1368610-aula-18-power-bi-recursos-adicionais-parte-i" TargetMode="External"/><Relationship Id="rId108" Type="http://schemas.openxmlformats.org/officeDocument/2006/relationships/hyperlink" Target="https://ead.preditiva.ai/53786-3-2-prevendo-o-futuro-parte-2/1391337-aula-7-distribuicao-de-probabilidades-normal" TargetMode="External"/><Relationship Id="rId129" Type="http://schemas.openxmlformats.org/officeDocument/2006/relationships/hyperlink" Target="https://ead.preditiva.ai/53582-2-analise-de-correlacao-e-associacao/1183547-aula-11-demonstracao-correlacao-pearson" TargetMode="External"/><Relationship Id="rId280" Type="http://schemas.openxmlformats.org/officeDocument/2006/relationships/hyperlink" Target="https://ead.preditiva.ai/70700-21-visao-computacional-computer-vision/1626128-aula-2-max-pooling-e-classificacao-de-imagens" TargetMode="External"/><Relationship Id="rId54" Type="http://schemas.openxmlformats.org/officeDocument/2006/relationships/hyperlink" Target="https://ead.preditiva.ai/53799-11-fundamentos-de-bi-extracao-e-visualizacao-de-dados-usando-sql-e-power-bi/1368564-aula-1-fundamentos-de-bi" TargetMode="External"/><Relationship Id="rId75" Type="http://schemas.openxmlformats.org/officeDocument/2006/relationships/hyperlink" Target="https://ead.preditiva.ai/61740-7-regressao-logistica/1398604-hands-on-base-iris-resolucao" TargetMode="External"/><Relationship Id="rId96" Type="http://schemas.openxmlformats.org/officeDocument/2006/relationships/hyperlink" Target="https://ead.preditiva.ai/53789-4-como-estimar-medidas-com-poucos-dados/1391392-aplicacao-1-validacao-da-qualidade-das-amostras" TargetMode="External"/><Relationship Id="rId140" Type="http://schemas.openxmlformats.org/officeDocument/2006/relationships/hyperlink" Target="https://ead.preditiva.ai/65572-1-como-resumir-e-interpretar-os-dados/1497960-aula-2-tabelas-de-frequencias" TargetMode="External"/><Relationship Id="rId161" Type="http://schemas.openxmlformats.org/officeDocument/2006/relationships/hyperlink" Target="https://ead.preditiva.ai/53785-10-microsoft-excel-para-analytics/1368378-aula-18-erros-n-d-ref-valor-num-e-outros-problemas-comuns" TargetMode="External"/><Relationship Id="rId182" Type="http://schemas.openxmlformats.org/officeDocument/2006/relationships/hyperlink" Target="https://ead.preditiva.ai/65765-9-diagnostico-e-interpretacao-de-modelos/1686620-hands-on-custos-de-saude" TargetMode="External"/><Relationship Id="rId217" Type="http://schemas.openxmlformats.org/officeDocument/2006/relationships/hyperlink" Target="https://ead.preditiva.ai/61410-11-regressao-linear-multipla-no-python/1391495-hands-on-3-diagnostico-do-modelo" TargetMode="External"/><Relationship Id="rId6" Type="http://schemas.openxmlformats.org/officeDocument/2006/relationships/hyperlink" Target="https://ead.preditiva.ai/53798-13-metodo-crisp-dm/1391414-aula-8-deploy-implantacao" TargetMode="External"/><Relationship Id="rId238" Type="http://schemas.openxmlformats.org/officeDocument/2006/relationships/hyperlink" Target="https://ead.preditiva.ai/61748-14-ensemble-de-modelos-no-python/1398700-hands-on-2-classificando-a-renda-dos-norte-americanos" TargetMode="External"/><Relationship Id="rId259" Type="http://schemas.openxmlformats.org/officeDocument/2006/relationships/hyperlink" Target="https://ead.preditiva.ai/61747-18-redes-neurais-artificiais-no-python/1686405-aula-4-modelos-de-regressao" TargetMode="External"/><Relationship Id="rId23" Type="http://schemas.openxmlformats.org/officeDocument/2006/relationships/hyperlink" Target="https://ead.preditiva.ai/61407-12-python-para-analise-de-dados/1391436-aula-8-pandas-dados-faltantes-missing-values-e-duplicacoes" TargetMode="External"/><Relationship Id="rId119" Type="http://schemas.openxmlformats.org/officeDocument/2006/relationships/hyperlink" Target="https://ead.preditiva.ai/65583-3-prevendo-o-futuro/1498125-aula-4-teoria-frequentista" TargetMode="External"/><Relationship Id="rId270" Type="http://schemas.openxmlformats.org/officeDocument/2006/relationships/hyperlink" Target="https://ead.preditiva.ai/74307-19-otimizacao-de-modelos/1686761-hands-on-fraudes-no-cartao-de-credito" TargetMode="External"/><Relationship Id="rId291" Type="http://schemas.openxmlformats.org/officeDocument/2006/relationships/hyperlink" Target="https://ead.preditiva.ai/61746-8-arvores-de-decisao/1398667-aula-1-introducao" TargetMode="External"/><Relationship Id="rId44" Type="http://schemas.openxmlformats.org/officeDocument/2006/relationships/hyperlink" Target="https://ead.preditiva.ai/53799-11-fundamentos-de-bi-extracao-e-visualizacao-de-dados-usando-sql-e-power-bi/1341725-aula-8-sql-introducao-aos-joins" TargetMode="External"/><Relationship Id="rId65" Type="http://schemas.openxmlformats.org/officeDocument/2006/relationships/hyperlink" Target="https://ead.preditiva.ai/65765-9-diagnostico-de-modelos/1502767-aula-6-introducao" TargetMode="External"/><Relationship Id="rId86" Type="http://schemas.openxmlformats.org/officeDocument/2006/relationships/hyperlink" Target="https://ead.preditiva.ai/65757-5-testes-a-b-testes-de-hipoteses/1502489-aula-12-teste-de-hipoteses-para-proporcao-de-2-populacoes" TargetMode="External"/><Relationship Id="rId130" Type="http://schemas.openxmlformats.org/officeDocument/2006/relationships/hyperlink" Target="https://ead.preditiva.ai/53582-2-analise-de-correlacao-e-associacao/1183538-aula-10-correlacao-pearson" TargetMode="External"/><Relationship Id="rId151" Type="http://schemas.openxmlformats.org/officeDocument/2006/relationships/hyperlink" Target="https://ead.preditiva.ai/53785-10-microsoft-excel-para-analytics/1368488-aula-27-grafico-de-histograma" TargetMode="External"/><Relationship Id="rId172" Type="http://schemas.openxmlformats.org/officeDocument/2006/relationships/hyperlink" Target="https://ead.preditiva.ai/53785-10-microsoft-excel-para-analytics/1368352-aula-07-entendendo-as-referencias-relativas-e-absolutas" TargetMode="External"/><Relationship Id="rId193" Type="http://schemas.openxmlformats.org/officeDocument/2006/relationships/hyperlink" Target="https://ead.preditiva.ai/61891-10-nivelamento-em-matematica-para-data-science/1627373-aula-5-funcoes-compostas" TargetMode="External"/><Relationship Id="rId207" Type="http://schemas.openxmlformats.org/officeDocument/2006/relationships/hyperlink" Target="https://ead.preditiva.ai/61891-10-nivelamento-em-matematica-para-data-science/1627394-aula-19-o-metodo-simplex" TargetMode="External"/><Relationship Id="rId228" Type="http://schemas.openxmlformats.org/officeDocument/2006/relationships/hyperlink" Target="https://ead.preditiva.ai/61746-13-arvores-de-decisao/1398671-hands-on-1-probabilidade-de-turnover" TargetMode="External"/><Relationship Id="rId249" Type="http://schemas.openxmlformats.org/officeDocument/2006/relationships/hyperlink" Target="https://ead.preditiva.ai/70701-16-reducao-de-dimensionalidade/1626141-aula-2-pca-demonstracao" TargetMode="External"/><Relationship Id="rId13" Type="http://schemas.openxmlformats.org/officeDocument/2006/relationships/hyperlink" Target="https://ead.preditiva.ai/53798-13-metodo-crisp-dm/1391407-aula-1-overview-do-crisp-dm" TargetMode="External"/><Relationship Id="rId109" Type="http://schemas.openxmlformats.org/officeDocument/2006/relationships/hyperlink" Target="https://ead.preditiva.ai/53786-3-2-prevendo-o-futuro-parte-2/1391336-aula-6-variaveis-aleatorias-continuas" TargetMode="External"/><Relationship Id="rId260" Type="http://schemas.openxmlformats.org/officeDocument/2006/relationships/hyperlink" Target="https://ead.preditiva.ai/61747-18-redes-neurais-artificiais-no-python/1686407-hands-on-probabilidade-de-doenca-cardiaca" TargetMode="External"/><Relationship Id="rId281" Type="http://schemas.openxmlformats.org/officeDocument/2006/relationships/hyperlink" Target="https://ead.preditiva.ai/70700-21-visao-computacional-computer-vision/1626129-aula-3-demonstracao" TargetMode="External"/><Relationship Id="rId34" Type="http://schemas.openxmlformats.org/officeDocument/2006/relationships/hyperlink" Target="https://ead.preditiva.ai/53799-11-fundamentos-de-bi-extracao-e-visualizacao-de-dados-usando-sql-e-power-bi/1368597-aula-17-outras-transformacoes" TargetMode="External"/><Relationship Id="rId55" Type="http://schemas.openxmlformats.org/officeDocument/2006/relationships/hyperlink" Target="https://ead.preditiva.ai/53785-10-microsoft-excel-para-analytics/1368507-aula-34-como-criar-dashboards-no-excel" TargetMode="External"/><Relationship Id="rId76" Type="http://schemas.openxmlformats.org/officeDocument/2006/relationships/hyperlink" Target="https://ead.preditiva.ai/61740-7-regressao-logistica/1398601-hands-on-base-iris" TargetMode="External"/><Relationship Id="rId97" Type="http://schemas.openxmlformats.org/officeDocument/2006/relationships/hyperlink" Target="https://ead.preditiva.ai/53789-4-como-estimar-medidas-com-poucos-dados/1391376-aula-7-calculando-a-margem-de-erro-e-o-tamanho-da-amostra" TargetMode="External"/><Relationship Id="rId120" Type="http://schemas.openxmlformats.org/officeDocument/2006/relationships/hyperlink" Target="https://ead.preditiva.ai/65583-3-prevendo-o-futuro/1498124-aula-3-teoria-classica-o-problema-de-mounty-hall" TargetMode="External"/><Relationship Id="rId141" Type="http://schemas.openxmlformats.org/officeDocument/2006/relationships/hyperlink" Target="https://ead.preditiva.ai/65572-1-como-resumir-e-interpretar-os-dados/1497964-aula-1-introducao-e-tipos-de-variaveis" TargetMode="External"/><Relationship Id="rId7" Type="http://schemas.openxmlformats.org/officeDocument/2006/relationships/hyperlink" Target="https://ead.preditiva.ai/53798-13-metodo-crisp-dm/1391413-aula-7-validacao-do-trabalho" TargetMode="External"/><Relationship Id="rId162" Type="http://schemas.openxmlformats.org/officeDocument/2006/relationships/hyperlink" Target="https://ead.preditiva.ai/53785-10-microsoft-excel-para-analytics/1368377-aula-17-funcoes-media-cont-valores-cont-se-desvpad-p-entre-outros" TargetMode="External"/><Relationship Id="rId183" Type="http://schemas.openxmlformats.org/officeDocument/2006/relationships/hyperlink" Target="https://ead.preditiva.ai/65765-9-diagnostico-e-interpretacao-de-modelos/1686726-aula-13-introducao" TargetMode="External"/><Relationship Id="rId218" Type="http://schemas.openxmlformats.org/officeDocument/2006/relationships/hyperlink" Target="https://ead.preditiva.ai/61410-11-regressao-linear-multipla-no-python/1391484-hands-on-1-multicolinearidade-resolucao" TargetMode="External"/><Relationship Id="rId239" Type="http://schemas.openxmlformats.org/officeDocument/2006/relationships/hyperlink" Target="https://ead.preditiva.ai/61748-14-ensemble-de-modelos-no-python/1398703-aula-3-adaboost-e-gradient-boosting" TargetMode="External"/><Relationship Id="rId250" Type="http://schemas.openxmlformats.org/officeDocument/2006/relationships/hyperlink" Target="https://ead.preditiva.ai/70701-16-reducao-de-dimensionalidade/1626142-aula-3-autoencoder" TargetMode="External"/><Relationship Id="rId271" Type="http://schemas.openxmlformats.org/officeDocument/2006/relationships/hyperlink" Target="https://ead.preditiva.ai/70698-20-processamento-de-linguagem-natural-nlp/1626113-aula-2-preparacao-dos-textos" TargetMode="External"/><Relationship Id="rId292" Type="http://schemas.openxmlformats.org/officeDocument/2006/relationships/hyperlink" Target="https://ead.preditiva.ai/61748-9-ensemble-de-modelos-no-python/1398696-aula-1-introducao" TargetMode="External"/><Relationship Id="rId24" Type="http://schemas.openxmlformats.org/officeDocument/2006/relationships/hyperlink" Target="https://ead.preditiva.ai/61407-12-python-para-analise-de-dados/1391435-aula-7-pandas-agregando-e-resumindo-dados" TargetMode="External"/><Relationship Id="rId45" Type="http://schemas.openxmlformats.org/officeDocument/2006/relationships/hyperlink" Target="https://ead.preditiva.ai/53799-11-fundamentos-de-bi-extracao-e-visualizacao-de-dados-usando-sql-e-power-bi/1341718-aplicacao-sql-case-when-e-group-by" TargetMode="External"/><Relationship Id="rId66" Type="http://schemas.openxmlformats.org/officeDocument/2006/relationships/hyperlink" Target="https://ead.preditiva.ai/65765-9-diagnostico-de-modelos/1502759-aula-5-ks" TargetMode="External"/><Relationship Id="rId87" Type="http://schemas.openxmlformats.org/officeDocument/2006/relationships/hyperlink" Target="https://ead.preditiva.ai/65757-5-testes-a-b-testes-de-hipoteses/1502488-aula-11-teste-de-hipoteses-para-media-de-2-populacoes-pareadas" TargetMode="External"/><Relationship Id="rId110" Type="http://schemas.openxmlformats.org/officeDocument/2006/relationships/hyperlink" Target="https://ead.preditiva.ai/53786-3-2-prevendo-o-futuro-parte-2/1391335-aula-5-distribuicao-de-probabilidades-poisson-opcional" TargetMode="External"/><Relationship Id="rId131" Type="http://schemas.openxmlformats.org/officeDocument/2006/relationships/hyperlink" Target="https://ead.preditiva.ai/65572-1-como-resumir-e-interpretar-os-dados/1497963-aplicacao-2-idhm-dos-municipios-brasileiros-parte-i" TargetMode="External"/><Relationship Id="rId152" Type="http://schemas.openxmlformats.org/officeDocument/2006/relationships/hyperlink" Target="https://ead.preditiva.ai/53785-10-microsoft-excel-para-analytics/1368487-aula-26-graficos-de-linhas" TargetMode="External"/><Relationship Id="rId173" Type="http://schemas.openxmlformats.org/officeDocument/2006/relationships/hyperlink" Target="https://ead.preditiva.ai/53785-10-microsoft-excel-para-analytics/1368349-aula-06-o-principio-das-formulas" TargetMode="External"/><Relationship Id="rId194" Type="http://schemas.openxmlformats.org/officeDocument/2006/relationships/hyperlink" Target="https://ead.preditiva.ai/61891-10-nivelamento-em-matematica-para-data-science/1627374-aula-6-funcoes-de-duas-ou-mais-variaveis" TargetMode="External"/><Relationship Id="rId208" Type="http://schemas.openxmlformats.org/officeDocument/2006/relationships/hyperlink" Target="https://ead.preditiva.ai/61891-10-nivelamento-em-matematica-para-data-science/1627397-aula-20-otimizacao-nao-linear" TargetMode="External"/><Relationship Id="rId229" Type="http://schemas.openxmlformats.org/officeDocument/2006/relationships/hyperlink" Target="https://ead.preditiva.ai/61746-13-arvores-de-decisao/1398672-aula-4-modelos-de-regressao" TargetMode="External"/><Relationship Id="rId240" Type="http://schemas.openxmlformats.org/officeDocument/2006/relationships/hyperlink" Target="https://ead.preditiva.ai/61748-14-ensemble-de-modelos-no-python/1398704-aula-4-demonstracao" TargetMode="External"/><Relationship Id="rId261" Type="http://schemas.openxmlformats.org/officeDocument/2006/relationships/hyperlink" Target="https://ead.preditiva.ai/61747-18-redes-neurais-artificiais-no-python/1686408-hands-on-probabilidade-de-doenca-cardiaca-resolvido" TargetMode="External"/><Relationship Id="rId14" Type="http://schemas.openxmlformats.org/officeDocument/2006/relationships/hyperlink" Target="https://ead.preditiva.ai/61407-12-python-para-analise-de-dados/1391461-opcional-aula-17-introducao-ao-h2o" TargetMode="External"/><Relationship Id="rId35" Type="http://schemas.openxmlformats.org/officeDocument/2006/relationships/hyperlink" Target="https://ead.preditiva.ai/53799-11-fundamentos-de-bi-extracao-e-visualizacao-de-dados-usando-sql-e-power-bi/1368595-aula-16-transformacoes-numericas" TargetMode="External"/><Relationship Id="rId56" Type="http://schemas.openxmlformats.org/officeDocument/2006/relationships/hyperlink" Target="https://ead.preditiva.ai/53785-10-microsoft-excel-para-analytics/1368504-aula-33-graficos-dinamicos-e-segmentacao-de-dados" TargetMode="External"/><Relationship Id="rId77" Type="http://schemas.openxmlformats.org/officeDocument/2006/relationships/hyperlink" Target="https://ead.preditiva.ai/61740-7-regressao-logistica/1398597-aula-3-interpretacao-do-modelo-de-regressao-logistica" TargetMode="External"/><Relationship Id="rId100" Type="http://schemas.openxmlformats.org/officeDocument/2006/relationships/hyperlink" Target="https://ead.preditiva.ai/53789-4-como-estimar-medidas-com-poucos-dados/1391370-aula-4-intervalos-de-confianca-estimando-a-media-da-populacao" TargetMode="External"/><Relationship Id="rId282" Type="http://schemas.openxmlformats.org/officeDocument/2006/relationships/hyperlink" Target="https://ead.preditiva.ai/70700-21-visao-computacional-computer-vision/1626131-hands-on-digitos-em-arabe" TargetMode="External"/><Relationship Id="rId8" Type="http://schemas.openxmlformats.org/officeDocument/2006/relationships/hyperlink" Target="https://ead.preditiva.ai/53798-13-metodo-crisp-dm/1391412-aula-6-desenvolvendo-o-estudo-ou-modelo-parte-2" TargetMode="External"/><Relationship Id="rId98" Type="http://schemas.openxmlformats.org/officeDocument/2006/relationships/hyperlink" Target="https://ead.preditiva.ai/53789-4-como-estimar-medidas-com-poucos-dados/1391375-aula-6-intervalos-de-confianca-estimando-a-proporcao-da-populacao" TargetMode="External"/><Relationship Id="rId121" Type="http://schemas.openxmlformats.org/officeDocument/2006/relationships/hyperlink" Target="https://ead.preditiva.ai/65583-3-prevendo-o-futuro/1498128-aula-2-teoria-classica" TargetMode="External"/><Relationship Id="rId142" Type="http://schemas.openxmlformats.org/officeDocument/2006/relationships/hyperlink" Target="https://ead.preditiva.ai/65759-6-regressao-linear-multipla/1502512-aula-regressao-linear-multipla" TargetMode="External"/><Relationship Id="rId163" Type="http://schemas.openxmlformats.org/officeDocument/2006/relationships/hyperlink" Target="https://ead.preditiva.ai/53785-10-microsoft-excel-para-analytics/1368375-aula-16-funcoes-arred-int-entre-outros" TargetMode="External"/><Relationship Id="rId184" Type="http://schemas.openxmlformats.org/officeDocument/2006/relationships/hyperlink" Target="https://ead.preditiva.ai/65765-9-diagnostico-e-interpretacao-de-modelos/1686727-aula-14-demonstracao-redes-neurais-artificiais" TargetMode="External"/><Relationship Id="rId219" Type="http://schemas.openxmlformats.org/officeDocument/2006/relationships/hyperlink" Target="https://ead.preditiva.ai/61410-11-regressao-linear-multipla-no-python/1391487-hands-on-2-variaveis-explicativas-qualitativas-resolucao" TargetMode="External"/><Relationship Id="rId230" Type="http://schemas.openxmlformats.org/officeDocument/2006/relationships/hyperlink" Target="https://ead.preditiva.ai/61746-13-arvores-de-decisao/1398678-hands-on-2-salario-dos-colaboradores" TargetMode="External"/><Relationship Id="rId251" Type="http://schemas.openxmlformats.org/officeDocument/2006/relationships/hyperlink" Target="https://ead.preditiva.ai/70701-16-reducao-de-dimensionalidade/1626143-aula-4-t-sne" TargetMode="External"/><Relationship Id="rId25" Type="http://schemas.openxmlformats.org/officeDocument/2006/relationships/hyperlink" Target="https://ead.preditiva.ai/61407-12-python-para-analise-de-dados/1391434-aula-6-pandas-concatenacao-merges-e-joins-de-dataframes" TargetMode="External"/><Relationship Id="rId46" Type="http://schemas.openxmlformats.org/officeDocument/2006/relationships/hyperlink" Target="https://ead.preditiva.ai/53799-11-fundamentos-de-bi-extracao-e-visualizacao-de-dados-usando-sql-e-power-bi/1341416-aula-7-sql-group-by" TargetMode="External"/><Relationship Id="rId67" Type="http://schemas.openxmlformats.org/officeDocument/2006/relationships/hyperlink" Target="https://ead.preditiva.ai/65765-9-diagnostico-de-modelos/1502763-aula-4-auc" TargetMode="External"/><Relationship Id="rId272" Type="http://schemas.openxmlformats.org/officeDocument/2006/relationships/hyperlink" Target="https://ead.preditiva.ai/70698-20-processamento-de-linguagem-natural-nlp/1626114-aula-3-preparacao-dos-textos-demonstracao" TargetMode="External"/><Relationship Id="rId293" Type="http://schemas.openxmlformats.org/officeDocument/2006/relationships/hyperlink" Target="https://ead.preditiva.ai/61747-10-redes-neurais-artificiais-no-python/1686400-aula-1-introducao" TargetMode="External"/><Relationship Id="rId88" Type="http://schemas.openxmlformats.org/officeDocument/2006/relationships/hyperlink" Target="https://ead.preditiva.ai/65757-5-testes-a-b-testes-de-hipoteses/1502487-aula-10-testes-de-hipoteses-para-media-e-variancia-de-2-populacoes" TargetMode="External"/><Relationship Id="rId111" Type="http://schemas.openxmlformats.org/officeDocument/2006/relationships/hyperlink" Target="https://ead.preditiva.ai/53786-3-2-prevendo-o-futuro-parte-2/1391334-aula-4-distribuicao-de-probabilidades-binomial-opcional" TargetMode="External"/><Relationship Id="rId132" Type="http://schemas.openxmlformats.org/officeDocument/2006/relationships/hyperlink" Target="https://ead.preditiva.ai/65572-1-como-resumir-e-interpretar-os-dados/1497957-aplicacao-1-vendas-de-produtos-bancarios" TargetMode="External"/><Relationship Id="rId153" Type="http://schemas.openxmlformats.org/officeDocument/2006/relationships/hyperlink" Target="https://ead.preditiva.ai/53785-10-microsoft-excel-para-analytics/1368484-aula-25-graficos-de-barras-e-colunas" TargetMode="External"/><Relationship Id="rId174" Type="http://schemas.openxmlformats.org/officeDocument/2006/relationships/hyperlink" Target="https://ead.preditiva.ai/53785-10-microsoft-excel-para-analytics/1368380-exercicio-1-formatacao-de-celulas-e-texto-para-colunas" TargetMode="External"/><Relationship Id="rId195" Type="http://schemas.openxmlformats.org/officeDocument/2006/relationships/hyperlink" Target="https://ead.preditiva.ai/61891-10-nivelamento-em-matematica-para-data-science/1627375-aula-7-o-problema-da-tangente" TargetMode="External"/><Relationship Id="rId209" Type="http://schemas.openxmlformats.org/officeDocument/2006/relationships/hyperlink" Target="https://ead.preditiva.ai/61891-10-nivelamento-em-matematica-para-data-science/1627398-aula-21-algoritmos-de-descida" TargetMode="External"/><Relationship Id="rId220" Type="http://schemas.openxmlformats.org/officeDocument/2006/relationships/hyperlink" Target="https://ead.preditiva.ai/61410-11-regressao-linear-multipla-no-python/1391496-hands-on-3-diagnostico-do-modelo-resolucao" TargetMode="External"/><Relationship Id="rId241" Type="http://schemas.openxmlformats.org/officeDocument/2006/relationships/hyperlink" Target="https://ead.preditiva.ai/61748-14-ensemble-de-modelos-no-python/1398707-hands-on-3-recomendando-bons-vinhos" TargetMode="External"/><Relationship Id="rId15" Type="http://schemas.openxmlformats.org/officeDocument/2006/relationships/hyperlink" Target="https://ead.preditiva.ai/61407-12-python-para-analise-de-dados/1391455-opcional-aula-16-scikit-learn-clusterizacao-e-selecao-de-modelos" TargetMode="External"/><Relationship Id="rId36" Type="http://schemas.openxmlformats.org/officeDocument/2006/relationships/hyperlink" Target="https://ead.preditiva.ai/53799-11-fundamentos-de-bi-extracao-e-visualizacao-de-dados-usando-sql-e-power-bi/1368594-aula-15-transformacoes-de-texto" TargetMode="External"/><Relationship Id="rId57" Type="http://schemas.openxmlformats.org/officeDocument/2006/relationships/hyperlink" Target="https://ead.preditiva.ai/65765-9-diagnostico-de-modelos/1502756-hands-on-probabilidade-de-default-resolucao" TargetMode="External"/><Relationship Id="rId262" Type="http://schemas.openxmlformats.org/officeDocument/2006/relationships/hyperlink" Target="https://ead.preditiva.ai/74307-19-otimizacao-de-modelos/1737893-aula-2-random-search" TargetMode="External"/><Relationship Id="rId283" Type="http://schemas.openxmlformats.org/officeDocument/2006/relationships/hyperlink" Target="https://ead.preditiva.ai/70700-21-visao-computacional-computer-vision/1626132-hands-on-digitos-em-arabe-resolucao" TargetMode="External"/><Relationship Id="rId78" Type="http://schemas.openxmlformats.org/officeDocument/2006/relationships/hyperlink" Target="https://ead.preditiva.ai/61740-7-regressao-logistica/1398596-aula-2-demonstracao" TargetMode="External"/><Relationship Id="rId99" Type="http://schemas.openxmlformats.org/officeDocument/2006/relationships/hyperlink" Target="https://ead.preditiva.ai/53789-4-como-estimar-medidas-com-poucos-dados/1391372-aula-5-intervalos-de-confianca-demonstracao" TargetMode="External"/><Relationship Id="rId101" Type="http://schemas.openxmlformats.org/officeDocument/2006/relationships/hyperlink" Target="https://ead.preditiva.ai/53789-4-como-estimar-medidas-com-poucos-dados/1391369-aula-3-o-importante-teorema-do-limite-central" TargetMode="External"/><Relationship Id="rId122" Type="http://schemas.openxmlformats.org/officeDocument/2006/relationships/hyperlink" Target="https://ead.preditiva.ai/65583-3-prevendo-o-futuro/1498123-aula-1-introducao-a-probabilidade" TargetMode="External"/><Relationship Id="rId143" Type="http://schemas.openxmlformats.org/officeDocument/2006/relationships/hyperlink" Target="https://ead.preditiva.ai/61407-12-python-para-analise-de-dados/1391429-aula-1-estruturas-de-dados" TargetMode="External"/><Relationship Id="rId164" Type="http://schemas.openxmlformats.org/officeDocument/2006/relationships/hyperlink" Target="https://ead.preditiva.ai/53785-10-microsoft-excel-para-analytics/1368374-aula-15-funcoes-data-mes-ano-dia-da-semana-entre-outros" TargetMode="External"/><Relationship Id="rId185" Type="http://schemas.openxmlformats.org/officeDocument/2006/relationships/hyperlink" Target="https://ead.preditiva.ai/65765-9-diagnostico-e-interpretacao-de-modelos/1686728-aula-15-demonstracao-random-forest" TargetMode="External"/><Relationship Id="rId9" Type="http://schemas.openxmlformats.org/officeDocument/2006/relationships/hyperlink" Target="https://ead.preditiva.ai/53798-13-metodo-crisp-dm/1391411-aula-5-desenvolvendo-o-estudo-ou-modelo-parte-1" TargetMode="External"/><Relationship Id="rId210" Type="http://schemas.openxmlformats.org/officeDocument/2006/relationships/hyperlink" Target="https://ead.preditiva.ai/61891-10-nivelamento-em-matematica-para-data-science/1627399-aula-22-o-metodo-gradient-descent" TargetMode="External"/><Relationship Id="rId26" Type="http://schemas.openxmlformats.org/officeDocument/2006/relationships/hyperlink" Target="https://ead.preditiva.ai/61407-12-python-para-analise-de-dados/1391433-aula-5-pandas-introducao-e-filtragem-de-dataframes" TargetMode="External"/><Relationship Id="rId231" Type="http://schemas.openxmlformats.org/officeDocument/2006/relationships/hyperlink" Target="https://ead.preditiva.ai/61746-13-arvores-de-decisao/1398687-aula-5-confiabilidade-e-generalizacao" TargetMode="External"/><Relationship Id="rId252" Type="http://schemas.openxmlformats.org/officeDocument/2006/relationships/hyperlink" Target="https://ead.preditiva.ai/70701-16-reducao-de-dimensionalidade/1626145-hands-on-grupos-de-vinhos" TargetMode="External"/><Relationship Id="rId273" Type="http://schemas.openxmlformats.org/officeDocument/2006/relationships/hyperlink" Target="https://ead.preditiva.ai/70698-20-processamento-de-linguagem-natural-nlp/1626115-aula-4-analise-exploratoria-dos-textos" TargetMode="External"/><Relationship Id="rId294" Type="http://schemas.openxmlformats.org/officeDocument/2006/relationships/hyperlink" Target="https://ead.preditiva.ai/74307-14-otimizacao-de-modelos/1737891-aula-1-introducao" TargetMode="External"/><Relationship Id="rId47" Type="http://schemas.openxmlformats.org/officeDocument/2006/relationships/hyperlink" Target="https://ead.preditiva.ai/53799-11-fundamentos-de-bi-extracao-e-visualizacao-de-dados-usando-sql-e-power-bi/1341354-aula-6-sql-case-when-operacoes-aritmeticas" TargetMode="External"/><Relationship Id="rId68" Type="http://schemas.openxmlformats.org/officeDocument/2006/relationships/hyperlink" Target="https://ead.preditiva.ai/65765-9-diagnostico-de-modelos/1502762-aula-3-sensibilidade-e-especificidade" TargetMode="External"/><Relationship Id="rId89" Type="http://schemas.openxmlformats.org/officeDocument/2006/relationships/hyperlink" Target="https://ead.preditiva.ai/65757-5-testes-a-b-testes-de-hipoteses/1502493-aula-9-teste-de-hipoteses-para-media-de-1-populacao" TargetMode="External"/><Relationship Id="rId112" Type="http://schemas.openxmlformats.org/officeDocument/2006/relationships/hyperlink" Target="https://ead.preditiva.ai/53786-3-2-prevendo-o-futuro-parte-2/1391332-aula-3-distribuicao-de-probabilidades-uniforme" TargetMode="External"/><Relationship Id="rId133" Type="http://schemas.openxmlformats.org/officeDocument/2006/relationships/hyperlink" Target="https://ead.preditiva.ai/65572-1-como-resumir-e-interpretar-os-dados/1497962-aula-3-grafico-de-box-plot" TargetMode="External"/><Relationship Id="rId154" Type="http://schemas.openxmlformats.org/officeDocument/2006/relationships/hyperlink" Target="https://ead.preditiva.ai/53785-10-microsoft-excel-para-analytics/1368481-aula-24-graficos-de-pizza-e-de-rosca" TargetMode="External"/><Relationship Id="rId175" Type="http://schemas.openxmlformats.org/officeDocument/2006/relationships/hyperlink" Target="https://ead.preditiva.ai/53785-10-microsoft-excel-para-analytics/1368343-aula-05-separacao-de-textos-em-colunas" TargetMode="External"/><Relationship Id="rId196" Type="http://schemas.openxmlformats.org/officeDocument/2006/relationships/hyperlink" Target="https://ead.preditiva.ai/61891-10-nivelamento-em-matematica-para-data-science/1627376-aula-8-o-limite-de-uma-funcao" TargetMode="External"/><Relationship Id="rId200" Type="http://schemas.openxmlformats.org/officeDocument/2006/relationships/hyperlink" Target="https://ead.preditiva.ai/61891-10-nivelamento-em-matematica-para-data-science/1627380-aula-12-derivadas-parciais" TargetMode="External"/><Relationship Id="rId16" Type="http://schemas.openxmlformats.org/officeDocument/2006/relationships/hyperlink" Target="https://ead.preditiva.ai/61407-12-python-para-analise-de-dados/1391445-aula-15-scikit-learn-reducao-de-dimensionalidade-classificacao-e-regress" TargetMode="External"/><Relationship Id="rId221" Type="http://schemas.openxmlformats.org/officeDocument/2006/relationships/hyperlink" Target="https://ead.preditiva.ai/61409-12-preparacao-de-dados-no-python/1391471-aula-1-valores-faltantes-ou-missing-values" TargetMode="External"/><Relationship Id="rId242" Type="http://schemas.openxmlformats.org/officeDocument/2006/relationships/hyperlink" Target="https://ead.preditiva.ai/61748-14-ensemble-de-modelos-no-python/1398698-hands-on-1-melhorando-a-concessao-de-credito-resolucao" TargetMode="External"/><Relationship Id="rId263" Type="http://schemas.openxmlformats.org/officeDocument/2006/relationships/hyperlink" Target="https://ead.preditiva.ai/74307-19-otimizacao-de-modelos/1737894-aula-3-grid-search" TargetMode="External"/><Relationship Id="rId284" Type="http://schemas.openxmlformats.org/officeDocument/2006/relationships/hyperlink" Target="https://ead.preditiva.ai/70700-21-visao-computacional-computer-vision/1626134-aula-4-outras-aplicacoes-de-computer-vision" TargetMode="External"/><Relationship Id="rId37" Type="http://schemas.openxmlformats.org/officeDocument/2006/relationships/hyperlink" Target="https://ead.preditiva.ai/53799-11-fundamentos-de-bi-extracao-e-visualizacao-de-dados-usando-sql-e-power-bi/1368591-aula-14-transformacoes-de-data" TargetMode="External"/><Relationship Id="rId58" Type="http://schemas.openxmlformats.org/officeDocument/2006/relationships/hyperlink" Target="https://ead.preditiva.ai/65765-9-diagnostico-de-modelos/1502757-aula-12-tecnicas-de-regularizacao" TargetMode="External"/><Relationship Id="rId79" Type="http://schemas.openxmlformats.org/officeDocument/2006/relationships/hyperlink" Target="https://ead.preditiva.ai/61740-7-regressao-logistica/1398595-aula-1-introducao" TargetMode="External"/><Relationship Id="rId102" Type="http://schemas.openxmlformats.org/officeDocument/2006/relationships/hyperlink" Target="https://ead.preditiva.ai/53789-4-como-estimar-medidas-com-poucos-dados/1391366-aula-2-conceitos-fundamentais-estimadores" TargetMode="External"/><Relationship Id="rId123" Type="http://schemas.openxmlformats.org/officeDocument/2006/relationships/hyperlink" Target="https://ead.preditiva.ai/53582-2-analise-de-correlacao-e-associacao/1549868-aplicacao-3-marketing-de-produto-bancario" TargetMode="External"/><Relationship Id="rId144" Type="http://schemas.openxmlformats.org/officeDocument/2006/relationships/hyperlink" Target="https://ead.preditiva.ai/61407-12-python-para-analise-de-dados/1391442-aula-14-scikit-learn-preparacao-dos-dados" TargetMode="External"/><Relationship Id="rId90" Type="http://schemas.openxmlformats.org/officeDocument/2006/relationships/hyperlink" Target="https://ead.preditiva.ai/65757-5-testes-a-b-testes-de-hipoteses/1502486-aula-8-introducao-aos-testes-de-hipoteses" TargetMode="External"/><Relationship Id="rId165" Type="http://schemas.openxmlformats.org/officeDocument/2006/relationships/hyperlink" Target="https://ead.preditiva.ai/53785-10-microsoft-excel-para-analytics/1368373-aula-14-funcao-indice-e-corresp" TargetMode="External"/><Relationship Id="rId186" Type="http://schemas.openxmlformats.org/officeDocument/2006/relationships/hyperlink" Target="https://ead.preditiva.ai/65765-9-diagnostico-e-interpretacao-de-modelos/1686729-aula-16-demonstracao-gradient-boosting" TargetMode="External"/><Relationship Id="rId211" Type="http://schemas.openxmlformats.org/officeDocument/2006/relationships/hyperlink" Target="https://ead.preditiva.ai/61410-11-regressao-linear-multipla-no-python/1391481-aula-2-multiplas-variaveis-explicativas" TargetMode="External"/><Relationship Id="rId232" Type="http://schemas.openxmlformats.org/officeDocument/2006/relationships/hyperlink" Target="https://ead.preditiva.ai/61746-13-arvores-de-decisao/1398692-hands-on-3-confiabilidade-e-generalizacao" TargetMode="External"/><Relationship Id="rId253" Type="http://schemas.openxmlformats.org/officeDocument/2006/relationships/hyperlink" Target="https://ead.preditiva.ai/70697-17-deteccao-de-outliers-anomalias/1626094-aula-1-isolation-forest-introducao" TargetMode="External"/><Relationship Id="rId274" Type="http://schemas.openxmlformats.org/officeDocument/2006/relationships/hyperlink" Target="https://ead.preditiva.ai/70698-20-processamento-de-linguagem-natural-nlp/1626116-aula-5-representacao-bag-of-words" TargetMode="External"/><Relationship Id="rId295" Type="http://schemas.openxmlformats.org/officeDocument/2006/relationships/hyperlink" Target="https://ead.preditiva.ai/70698-15-processamento-de-linguagem-natural-nlp/1626112-aula-1-introducao" TargetMode="External"/><Relationship Id="rId27" Type="http://schemas.openxmlformats.org/officeDocument/2006/relationships/hyperlink" Target="https://ead.preditiva.ai/61407-12-python-para-analise-de-dados/1391432-aula-4-numpy" TargetMode="External"/><Relationship Id="rId48" Type="http://schemas.openxmlformats.org/officeDocument/2006/relationships/hyperlink" Target="https://ead.preditiva.ai/53799-11-fundamentos-de-bi-extracao-e-visualizacao-de-dados-usando-sql-e-power-bi/1341703-aplicacao-power-bi-criando-seu-primeiro-dashboard" TargetMode="External"/><Relationship Id="rId69" Type="http://schemas.openxmlformats.org/officeDocument/2006/relationships/hyperlink" Target="https://ead.preditiva.ai/65765-9-diagnostico-de-modelos/1502761-aula-2-precision-recall-e-f1-score" TargetMode="External"/><Relationship Id="rId113" Type="http://schemas.openxmlformats.org/officeDocument/2006/relationships/hyperlink" Target="https://ead.preditiva.ai/53786-3-2-prevendo-o-futuro-parte-2/1391331-aula-2-variaveis-aleatorias-discretas" TargetMode="External"/><Relationship Id="rId134" Type="http://schemas.openxmlformats.org/officeDocument/2006/relationships/hyperlink" Target="https://ead.preditiva.ai/65572-1-como-resumir-e-interpretar-os-dados/1497961-aula-2-grafico-de-histograma" TargetMode="External"/><Relationship Id="rId80" Type="http://schemas.openxmlformats.org/officeDocument/2006/relationships/hyperlink" Target="https://ead.preditiva.ai/65759-6-regressao-linear-multipla/1502512-aula-regressao-linear-multipla" TargetMode="External"/><Relationship Id="rId155" Type="http://schemas.openxmlformats.org/officeDocument/2006/relationships/hyperlink" Target="https://ead.preditiva.ai/53785-10-microsoft-excel-para-analytics/1368480-aula-23-como-formatar-um-grafico" TargetMode="External"/><Relationship Id="rId176" Type="http://schemas.openxmlformats.org/officeDocument/2006/relationships/hyperlink" Target="https://ead.preditiva.ai/53785-10-microsoft-excel-para-analytics/1368342-aula-04-poderoso-recurso-colar-especial" TargetMode="External"/><Relationship Id="rId197" Type="http://schemas.openxmlformats.org/officeDocument/2006/relationships/hyperlink" Target="https://ead.preditiva.ai/61891-10-nivelamento-em-matematica-para-data-science/1627377-aula-9-continuidade" TargetMode="External"/><Relationship Id="rId201" Type="http://schemas.openxmlformats.org/officeDocument/2006/relationships/hyperlink" Target="https://ead.preditiva.ai/61891-10-nivelamento-em-matematica-para-data-science/1627381-aula-13-derivadas-direcionais" TargetMode="External"/><Relationship Id="rId222" Type="http://schemas.openxmlformats.org/officeDocument/2006/relationships/hyperlink" Target="https://ead.preditiva.ai/61409-12-preparacao-de-dados-no-python/1391473-aula-2-dados-duplicados" TargetMode="External"/><Relationship Id="rId243" Type="http://schemas.openxmlformats.org/officeDocument/2006/relationships/hyperlink" Target="https://ead.preditiva.ai/61748-14-ensemble-de-modelos-no-python/1398701-hands-on-2-classificando-a-renda-dos-norte-americanos-resolucao" TargetMode="External"/><Relationship Id="rId264" Type="http://schemas.openxmlformats.org/officeDocument/2006/relationships/hyperlink" Target="https://ead.preditiva.ai/74307-19-otimizacao-de-modelos/1737895-aula-4-bayesian-optimization" TargetMode="External"/><Relationship Id="rId285" Type="http://schemas.openxmlformats.org/officeDocument/2006/relationships/hyperlink" Target="https://ead.preditiva.ai/70700-21-visao-computacional-computer-vision/1626136-aula-5-demonstracao-de-reconhecimento-facial" TargetMode="External"/><Relationship Id="rId17" Type="http://schemas.openxmlformats.org/officeDocument/2006/relationships/hyperlink" Target="https://ead.preditiva.ai/61407-12-python-para-analise-de-dados/1391442-aula-14-scikit-learn-preparacao-dos-dados" TargetMode="External"/><Relationship Id="rId38" Type="http://schemas.openxmlformats.org/officeDocument/2006/relationships/hyperlink" Target="https://ead.preditiva.ai/53799-11-fundamentos-de-bi-extracao-e-visualizacao-de-dados-usando-sql-e-power-bi/1368588-aula-13-tabelas-temporarias" TargetMode="External"/><Relationship Id="rId59" Type="http://schemas.openxmlformats.org/officeDocument/2006/relationships/hyperlink" Target="https://ead.preditiva.ai/65765-9-diagnostico-de-modelos/1502758-aula-11-introducao" TargetMode="External"/><Relationship Id="rId103" Type="http://schemas.openxmlformats.org/officeDocument/2006/relationships/hyperlink" Target="https://ead.preditiva.ai/53789-4-como-estimar-medidas-com-poucos-dados/1391364-aula-1-conceitos-fundamentais-populacao-amostra-e-vies" TargetMode="External"/><Relationship Id="rId124" Type="http://schemas.openxmlformats.org/officeDocument/2006/relationships/hyperlink" Target="https://ead.preditiva.ai/53582-2-analise-de-correlacao-e-associacao/1549848-aplicacao-2-idhm-dos-municipios-brasileiros-parte-ii" TargetMode="External"/><Relationship Id="rId70" Type="http://schemas.openxmlformats.org/officeDocument/2006/relationships/hyperlink" Target="https://ead.preditiva.ai/65765-9-diagnostico-de-modelos/1502760-aula-1-introducao" TargetMode="External"/><Relationship Id="rId91" Type="http://schemas.openxmlformats.org/officeDocument/2006/relationships/hyperlink" Target="https://ead.preditiva.ai/53789-4-como-estimar-medidas-com-poucos-dados/1391401-aplicacao-6-estudo-de-vendas-e-frete-em-um-marketplace" TargetMode="External"/><Relationship Id="rId145" Type="http://schemas.openxmlformats.org/officeDocument/2006/relationships/hyperlink" Target="https://ead.preditiva.ai/53785-10-microsoft-excel-para-analytics/1368501-exercicio-3-graficos" TargetMode="External"/><Relationship Id="rId166" Type="http://schemas.openxmlformats.org/officeDocument/2006/relationships/hyperlink" Target="https://ead.preditiva.ai/53785-10-microsoft-excel-para-analytics/1368372-aula-13-funcao-procv" TargetMode="External"/><Relationship Id="rId187" Type="http://schemas.openxmlformats.org/officeDocument/2006/relationships/hyperlink" Target="https://ead.preditiva.ai/65765-9-diagnostico-e-interpretacao-de-modelos/1686730-hands-on-ofensores-na-concessao-de-credito" TargetMode="External"/><Relationship Id="rId1" Type="http://schemas.openxmlformats.org/officeDocument/2006/relationships/hyperlink" Target="https://ead.preditiva.ai/61404-14-calculando-o-valor-de-um-projeto-de-dados-e-apresentando-os-resultados/1391422-aula-2-apresentando-um-projeto-de-dados-parte-2" TargetMode="External"/><Relationship Id="rId212" Type="http://schemas.openxmlformats.org/officeDocument/2006/relationships/hyperlink" Target="https://ead.preditiva.ai/61410-11-regressao-linear-multipla-no-python/1391482-aula-3-multicolinearidade" TargetMode="External"/><Relationship Id="rId233" Type="http://schemas.openxmlformats.org/officeDocument/2006/relationships/hyperlink" Target="https://ead.preditiva.ai/61746-13-arvores-de-decisao/1398693-hands-on-1-probabilidade-de-turnover-resolucao" TargetMode="External"/><Relationship Id="rId254" Type="http://schemas.openxmlformats.org/officeDocument/2006/relationships/hyperlink" Target="https://ead.preditiva.ai/70697-17-deteccao-de-outliers-anomalias/1626096-aula-2-isolation-forest-demonstracao" TargetMode="External"/><Relationship Id="rId28" Type="http://schemas.openxmlformats.org/officeDocument/2006/relationships/hyperlink" Target="https://ead.preditiva.ai/61407-12-python-para-analise-de-dados/1391431-aula-3-organizacao-e-escalada-com-funcoes-e-classes" TargetMode="External"/><Relationship Id="rId49" Type="http://schemas.openxmlformats.org/officeDocument/2006/relationships/hyperlink" Target="https://ead.preditiva.ai/53799-11-fundamentos-de-bi-extracao-e-visualizacao-de-dados-usando-sql-e-power-bi/1341266-aula-5-power-bi-criando-seu-primeiro-dashboard" TargetMode="External"/><Relationship Id="rId114" Type="http://schemas.openxmlformats.org/officeDocument/2006/relationships/hyperlink" Target="https://ead.preditiva.ai/53786-3-2-prevendo-o-futuro-parte-2/1391330-aula-1-introducao-as-variaveis-aleatorias" TargetMode="External"/><Relationship Id="rId275" Type="http://schemas.openxmlformats.org/officeDocument/2006/relationships/hyperlink" Target="https://ead.preditiva.ai/70698-20-processamento-de-linguagem-natural-nlp/1626117-aula-6-representacao-tf-idf" TargetMode="External"/><Relationship Id="rId296" Type="http://schemas.openxmlformats.org/officeDocument/2006/relationships/hyperlink" Target="https://ead.preditiva.ai/70700-16-visao-computacional-computer-vision/1626127-aula-1-introducao" TargetMode="External"/><Relationship Id="rId60" Type="http://schemas.openxmlformats.org/officeDocument/2006/relationships/hyperlink" Target="https://ead.preditiva.ai/65765-9-diagnostico-de-modelos/1502766-hands-on-custos-de-saude-resolucao" TargetMode="External"/><Relationship Id="rId81" Type="http://schemas.openxmlformats.org/officeDocument/2006/relationships/hyperlink" Target="https://ead.preditiva.ai/65757-5-testes-a-b-testes-de-hipoteses/1502494-aplicacao-3-efeito-do-alcool-no-reflexo-de-motoristas" TargetMode="External"/><Relationship Id="rId135" Type="http://schemas.openxmlformats.org/officeDocument/2006/relationships/hyperlink" Target="https://ead.preditiva.ai/65572-1-como-resumir-e-interpretar-os-dados/1497959-aula-1-graficos-de-pizza-barras-linhas-e-pareto" TargetMode="External"/><Relationship Id="rId156" Type="http://schemas.openxmlformats.org/officeDocument/2006/relationships/hyperlink" Target="https://ead.preditiva.ai/53785-10-microsoft-excel-para-analytics/1368476-aula-22-como-inserir-e-quais-sao-os-tipos-de-graficos" TargetMode="External"/><Relationship Id="rId177" Type="http://schemas.openxmlformats.org/officeDocument/2006/relationships/hyperlink" Target="https://ead.preditiva.ai/53785-10-microsoft-excel-para-analytics/1368339-aula-03-alca-de-preenchimento-e-o-uso-de-series-numericas-e-textuais" TargetMode="External"/><Relationship Id="rId198" Type="http://schemas.openxmlformats.org/officeDocument/2006/relationships/hyperlink" Target="https://ead.preditiva.ai/61891-10-nivelamento-em-matematica-para-data-science/1627378-aula-10-a-derivada-como-uma-funcao" TargetMode="External"/><Relationship Id="rId202" Type="http://schemas.openxmlformats.org/officeDocument/2006/relationships/hyperlink" Target="https://ead.preditiva.ai/61891-10-nivelamento-em-matematica-para-data-science/1627383-aula-14-valores-maximos-e-minimos-de-funcoes" TargetMode="External"/><Relationship Id="rId223" Type="http://schemas.openxmlformats.org/officeDocument/2006/relationships/hyperlink" Target="https://ead.preditiva.ai/61409-12-preparacao-de-dados-no-python/1391474-aula-3-conversao-de-tipos-de-dados" TargetMode="External"/><Relationship Id="rId244" Type="http://schemas.openxmlformats.org/officeDocument/2006/relationships/hyperlink" Target="https://ead.preditiva.ai/61748-14-ensemble-de-modelos-no-python/1398709-hands-on-3-recomendando-bons-vinhos-resolucao" TargetMode="External"/><Relationship Id="rId18" Type="http://schemas.openxmlformats.org/officeDocument/2006/relationships/hyperlink" Target="https://ead.preditiva.ai/61407-12-python-para-analise-de-dados/1391441-aula-13-matplotlib-graficos-com-o-seaborn" TargetMode="External"/><Relationship Id="rId39" Type="http://schemas.openxmlformats.org/officeDocument/2006/relationships/hyperlink" Target="https://ead.preditiva.ai/53799-11-fundamentos-de-bi-extracao-e-visualizacao-de-dados-usando-sql-e-power-bi/1368587-aula-12-subqueries" TargetMode="External"/><Relationship Id="rId265" Type="http://schemas.openxmlformats.org/officeDocument/2006/relationships/hyperlink" Target="https://ead.preditiva.ai/74307-19-otimizacao-de-modelos/1737896-hands-on-estado-da-arte-na-concessao-de-credito" TargetMode="External"/><Relationship Id="rId286" Type="http://schemas.openxmlformats.org/officeDocument/2006/relationships/hyperlink" Target="https://ead.preditiva.ai/61891-10-nivelamento-em-matematica-para-data-science/1627383-aula-14-valores-maximos-e-minimos-de-funcoes" TargetMode="External"/><Relationship Id="rId50" Type="http://schemas.openxmlformats.org/officeDocument/2006/relationships/hyperlink" Target="https://ead.preditiva.ai/53799-11-fundamentos-de-bi-extracao-e-visualizacao-de-dados-usando-sql-e-power-bi/1341264-aula-4-power-bi-interface-e-conexao-com-sql" TargetMode="External"/><Relationship Id="rId104" Type="http://schemas.openxmlformats.org/officeDocument/2006/relationships/hyperlink" Target="https://ead.preditiva.ai/53786-3-2-prevendo-o-futuro-parte-2/1391348-aplicacao-5-avaliacao-de-idades" TargetMode="External"/><Relationship Id="rId125" Type="http://schemas.openxmlformats.org/officeDocument/2006/relationships/hyperlink" Target="https://ead.preditiva.ai/53582-2-analise-de-correlacao-e-associacao/1183545-aula-15-correlacao-vs-causalidade" TargetMode="External"/><Relationship Id="rId146" Type="http://schemas.openxmlformats.org/officeDocument/2006/relationships/hyperlink" Target="https://ead.preditiva.ai/53785-10-microsoft-excel-para-analytics/1368497-aula-32-como-escolher-o-melhor-grafico-para-sua-analise" TargetMode="External"/><Relationship Id="rId167" Type="http://schemas.openxmlformats.org/officeDocument/2006/relationships/hyperlink" Target="https://ead.preditiva.ai/53785-10-microsoft-excel-para-analytics/1368371-aula-12-funcoes-e-ou-e-a-funcao-se" TargetMode="External"/><Relationship Id="rId188" Type="http://schemas.openxmlformats.org/officeDocument/2006/relationships/hyperlink" Target="https://ead.preditiva.ai/65765-9-diagnostico-e-interpretacao-de-modelos/1686731-hands-on-ofensores-na-concessao-de-credito-resolucao" TargetMode="External"/><Relationship Id="rId71" Type="http://schemas.openxmlformats.org/officeDocument/2006/relationships/hyperlink" Target="https://ead.preditiva.ai/57958-8-topicos-de-data-science/1296723-modelos-estatisticos-vs-machine-learning" TargetMode="External"/><Relationship Id="rId92" Type="http://schemas.openxmlformats.org/officeDocument/2006/relationships/hyperlink" Target="https://ead.preditiva.ai/53789-4-como-estimar-medidas-com-poucos-dados/1391397-aplicacao-5-adequacao-de-automoveis-aos-suecos-parte-2" TargetMode="External"/><Relationship Id="rId213" Type="http://schemas.openxmlformats.org/officeDocument/2006/relationships/hyperlink" Target="https://ead.preditiva.ai/61410-11-regressao-linear-multipla-no-python/1391483-hands-on-1-multicolinearidade" TargetMode="External"/><Relationship Id="rId234" Type="http://schemas.openxmlformats.org/officeDocument/2006/relationships/hyperlink" Target="https://ead.preditiva.ai/61746-13-arvores-de-decisao/1398694-hands-on-2-salario-dos-colaboradores-resolucao" TargetMode="External"/><Relationship Id="rId2" Type="http://schemas.openxmlformats.org/officeDocument/2006/relationships/hyperlink" Target="https://ead.preditiva.ai/61404-14-calculando-o-valor-de-um-projeto-de-dados-e-apresentando-os-resultados/1391421-aula-1-apresentando-um-projeto-de-dados-parte-1" TargetMode="External"/><Relationship Id="rId29" Type="http://schemas.openxmlformats.org/officeDocument/2006/relationships/hyperlink" Target="https://ead.preditiva.ai/61407-12-python-para-analise-de-dados/1391430-aula-2-estruturas-de-controle" TargetMode="External"/><Relationship Id="rId255" Type="http://schemas.openxmlformats.org/officeDocument/2006/relationships/hyperlink" Target="https://ead.preditiva.ai/70697-17-deteccao-de-outliers-anomalias/1626098-aula-3-autoencoder" TargetMode="External"/><Relationship Id="rId276" Type="http://schemas.openxmlformats.org/officeDocument/2006/relationships/hyperlink" Target="https://ead.preditiva.ai/70698-20-processamento-de-linguagem-natural-nlp/1626118-aula-7-representacao-word2vec-introducao" TargetMode="External"/><Relationship Id="rId40" Type="http://schemas.openxmlformats.org/officeDocument/2006/relationships/hyperlink" Target="https://ead.preditiva.ai/53799-11-fundamentos-de-bi-extracao-e-visualizacao-de-dados-usando-sql-e-power-bi/1342073-aula-11-power-bi-drill-down" TargetMode="External"/><Relationship Id="rId115" Type="http://schemas.openxmlformats.org/officeDocument/2006/relationships/hyperlink" Target="https://ead.preditiva.ai/65583-3-prevendo-o-futuro/1498129-aplicacao-2-probabilidades-na-megasena" TargetMode="External"/><Relationship Id="rId136" Type="http://schemas.openxmlformats.org/officeDocument/2006/relationships/hyperlink" Target="https://ead.preditiva.ai/65572-1-como-resumir-e-interpretar-os-dados/1497968-aula-6-desvio-padrao-e-variancia" TargetMode="External"/><Relationship Id="rId157" Type="http://schemas.openxmlformats.org/officeDocument/2006/relationships/hyperlink" Target="https://ead.preditiva.ai/53785-10-microsoft-excel-para-analytics/1368398-aula-21-medidas-resumo-media-contagens-variancia-desvio-padrao-etc" TargetMode="External"/><Relationship Id="rId178" Type="http://schemas.openxmlformats.org/officeDocument/2006/relationships/hyperlink" Target="https://ead.preditiva.ai/53785-10-microsoft-excel-para-analytics/1368338-aula-02-formatacao-de-celulas-e-ir-para-especial" TargetMode="External"/><Relationship Id="rId61" Type="http://schemas.openxmlformats.org/officeDocument/2006/relationships/hyperlink" Target="https://ead.preditiva.ai/65765-9-diagnostico-de-modelos/1502769-aula-10-problemas-comuns-na-validacao-parte-ii" TargetMode="External"/><Relationship Id="rId82" Type="http://schemas.openxmlformats.org/officeDocument/2006/relationships/hyperlink" Target="https://ead.preditiva.ai/65757-5-testes-a-b-testes-de-hipoteses/1502492-aplicacao-2-indice-de-desenvolvimento-humano" TargetMode="External"/><Relationship Id="rId199" Type="http://schemas.openxmlformats.org/officeDocument/2006/relationships/hyperlink" Target="https://ead.preditiva.ai/61891-10-nivelamento-em-matematica-para-data-science/1627379-aula-11-regras-de-diferenciacao" TargetMode="External"/><Relationship Id="rId203" Type="http://schemas.openxmlformats.org/officeDocument/2006/relationships/hyperlink" Target="https://ead.preditiva.ai/61891-10-nivelamento-em-matematica-para-data-science/1627384-aula-15-matrizes-e-suas-operacoes" TargetMode="External"/><Relationship Id="rId19" Type="http://schemas.openxmlformats.org/officeDocument/2006/relationships/hyperlink" Target="https://ead.preditiva.ai/61407-12-python-para-analise-de-dados/1391440-aula-12-matplotlib-matriz-de-graficos-subplots" TargetMode="External"/><Relationship Id="rId224" Type="http://schemas.openxmlformats.org/officeDocument/2006/relationships/hyperlink" Target="https://ead.preditiva.ai/61409-12-preparacao-de-dados-no-python/1391475-aula-4-transformacoes-de-colunas-e-linhas" TargetMode="External"/><Relationship Id="rId245" Type="http://schemas.openxmlformats.org/officeDocument/2006/relationships/hyperlink" Target="https://ead.preditiva.ai/70702-15-clusterizacao/1626146-aula-1-k-means-introducao" TargetMode="External"/><Relationship Id="rId266" Type="http://schemas.openxmlformats.org/officeDocument/2006/relationships/hyperlink" Target="https://ead.preditiva.ai/74307-19-otimizacao-de-modelos/1737897-hands-on-estado-da-arte-na-concessao-de-credito-resolucao" TargetMode="External"/><Relationship Id="rId287" Type="http://schemas.openxmlformats.org/officeDocument/2006/relationships/hyperlink" Target="https://ead.preditiva.ai/61409-12-preparacao-de-dados-no-python/1391476-aula-5-estudo-de-caso-qualidade-na-central-de-atendimento" TargetMode="External"/><Relationship Id="rId30" Type="http://schemas.openxmlformats.org/officeDocument/2006/relationships/hyperlink" Target="https://ead.preditiva.ai/61407-12-python-para-analise-de-dados/1391429-aula-1-estruturas-de-dados" TargetMode="External"/><Relationship Id="rId105" Type="http://schemas.openxmlformats.org/officeDocument/2006/relationships/hyperlink" Target="https://ead.preditiva.ai/53786-3-2-prevendo-o-futuro-parte-2/1391347-aplicacao-4-checando-a-megasena" TargetMode="External"/><Relationship Id="rId126" Type="http://schemas.openxmlformats.org/officeDocument/2006/relationships/hyperlink" Target="https://ead.preditiva.ai/53582-2-analise-de-correlacao-e-associacao/1391271-aula-14-r-quadrado-coeficiente-de-determinacao" TargetMode="External"/><Relationship Id="rId147" Type="http://schemas.openxmlformats.org/officeDocument/2006/relationships/hyperlink" Target="https://ead.preditiva.ai/53785-10-microsoft-excel-para-analytics/1368495-aula-31-grafico-de-cascata-waterfall" TargetMode="External"/><Relationship Id="rId168" Type="http://schemas.openxmlformats.org/officeDocument/2006/relationships/hyperlink" Target="https://ead.preditiva.ai/53785-10-microsoft-excel-para-analytics/1368370-aula-11-funcoes-esquerda-direita-entre-outros" TargetMode="External"/><Relationship Id="rId51" Type="http://schemas.openxmlformats.org/officeDocument/2006/relationships/hyperlink" Target="https://ead.preditiva.ai/53799-11-fundamentos-de-bi-extracao-e-visualizacao-de-dados-usando-sql-e-power-bi/1341685-aplicacao-sql-select-where-e-order-by" TargetMode="External"/><Relationship Id="rId72" Type="http://schemas.openxmlformats.org/officeDocument/2006/relationships/hyperlink" Target="https://ead.preditiva.ai/57958-8-topicos-de-data-science/1296722-categorias-de-modelos" TargetMode="External"/><Relationship Id="rId93" Type="http://schemas.openxmlformats.org/officeDocument/2006/relationships/hyperlink" Target="https://ead.preditiva.ai/53789-4-como-estimar-medidas-com-poucos-dados/1391400-aplicacao-4-pesquisa-em-produtos-fitness" TargetMode="External"/><Relationship Id="rId189" Type="http://schemas.openxmlformats.org/officeDocument/2006/relationships/hyperlink" Target="https://ead.preditiva.ai/61891-10-nivelamento-em-matematica-para-data-science/1401289-aula-1-overview" TargetMode="External"/><Relationship Id="rId3" Type="http://schemas.openxmlformats.org/officeDocument/2006/relationships/hyperlink" Target="https://ead.preditiva.ai/61404-14-calculando-o-valor-de-um-projeto-de-dados-e-apresentando-os-resultados/1391420-aula-2-mensurando-o-impacto-gerado-apos-a-implantacao" TargetMode="External"/><Relationship Id="rId214" Type="http://schemas.openxmlformats.org/officeDocument/2006/relationships/hyperlink" Target="https://ead.preditiva.ai/61410-11-regressao-linear-multipla-no-python/1391485-aula-4-utilizando-variaveis-explicativas-qualitativas" TargetMode="External"/><Relationship Id="rId235" Type="http://schemas.openxmlformats.org/officeDocument/2006/relationships/hyperlink" Target="https://ead.preditiva.ai/61746-13-arvores-de-decisao/1398695-hands-on-3-confiabilidade-e-generalizacao" TargetMode="External"/><Relationship Id="rId256" Type="http://schemas.openxmlformats.org/officeDocument/2006/relationships/hyperlink" Target="https://ead.preditiva.ai/70697-17-deteccao-de-outliers-anomalias/1626102-hands-on-prevencao-a-fraudes" TargetMode="External"/><Relationship Id="rId277" Type="http://schemas.openxmlformats.org/officeDocument/2006/relationships/hyperlink" Target="https://ead.preditiva.ai/70698-20-processamento-de-linguagem-natural-nlp/1626119-aula-8-representacao-word2vec-demonstracao" TargetMode="External"/><Relationship Id="rId116" Type="http://schemas.openxmlformats.org/officeDocument/2006/relationships/hyperlink" Target="https://ead.preditiva.ai/65583-3-prevendo-o-futuro/1498127-aplicacao-1-condicoes-de-vida-da-populacao-brasileira" TargetMode="External"/><Relationship Id="rId137" Type="http://schemas.openxmlformats.org/officeDocument/2006/relationships/hyperlink" Target="https://ead.preditiva.ai/65572-1-como-resumir-e-interpretar-os-dados/1497958-aula-5-outras-medidas-de-posicao-minimo-maximo-e-os-quartis" TargetMode="External"/><Relationship Id="rId158" Type="http://schemas.openxmlformats.org/officeDocument/2006/relationships/hyperlink" Target="https://ead.preditiva.ai/53785-10-microsoft-excel-para-analytics/1368397-aula-20-tabelas-de-frequencia" TargetMode="External"/><Relationship Id="rId20" Type="http://schemas.openxmlformats.org/officeDocument/2006/relationships/hyperlink" Target="https://ead.preditiva.ai/61407-12-python-para-analise-de-dados/1391439-aula-11-matplotlib-tipos-de-graficos" TargetMode="External"/><Relationship Id="rId41" Type="http://schemas.openxmlformats.org/officeDocument/2006/relationships/hyperlink" Target="https://ead.preditiva.ai/53799-11-fundamentos-de-bi-extracao-e-visualizacao-de-dados-usando-sql-e-power-bi/1342071-aula-10-power-bi-filtros" TargetMode="External"/><Relationship Id="rId62" Type="http://schemas.openxmlformats.org/officeDocument/2006/relationships/hyperlink" Target="https://ead.preditiva.ai/65765-9-diagnostico-de-modelos/1502765-aula-9-problemas-comuns-na-validacao-parte-i" TargetMode="External"/><Relationship Id="rId83" Type="http://schemas.openxmlformats.org/officeDocument/2006/relationships/hyperlink" Target="https://ead.preditiva.ai/65757-5-testes-a-b-testes-de-hipoteses/1502485-aplicacao-1-teste-de-colesterol-dos-colaboradores" TargetMode="External"/><Relationship Id="rId179" Type="http://schemas.openxmlformats.org/officeDocument/2006/relationships/hyperlink" Target="https://ead.preditiva.ai/53785-10-microsoft-excel-para-analytics/1368336-aula-01-estrutura-de-uma-planilha-e-teclas-de-funcao" TargetMode="External"/><Relationship Id="rId190" Type="http://schemas.openxmlformats.org/officeDocument/2006/relationships/hyperlink" Target="https://ead.preditiva.ai/61891-10-nivelamento-em-matematica-para-data-science/1401291-aula-2-definicao-e-graficos" TargetMode="External"/><Relationship Id="rId204" Type="http://schemas.openxmlformats.org/officeDocument/2006/relationships/hyperlink" Target="https://ead.preditiva.ai/61891-10-nivelamento-em-matematica-para-data-science/1627385-aula-16-sistemas-lineares" TargetMode="External"/><Relationship Id="rId225" Type="http://schemas.openxmlformats.org/officeDocument/2006/relationships/hyperlink" Target="https://ead.preditiva.ai/61409-12-preparacao-de-dados-no-python/1391476-aula-5-estudo-de-caso-qualidade-na-central-de-atendimento" TargetMode="External"/><Relationship Id="rId246" Type="http://schemas.openxmlformats.org/officeDocument/2006/relationships/hyperlink" Target="https://ead.preditiva.ai/70702-15-clusterizacao/1626147-aula-2-k-means-demonstracao" TargetMode="External"/><Relationship Id="rId267" Type="http://schemas.openxmlformats.org/officeDocument/2006/relationships/hyperlink" Target="https://ead.preditiva.ai/74307-19-otimizacao-de-modelos/1686758-aula-5-introducao" TargetMode="External"/><Relationship Id="rId288" Type="http://schemas.openxmlformats.org/officeDocument/2006/relationships/hyperlink" Target="https://ead.preditiva.ai/61747-18-redes-neurais-artificiais-no-python/1686404-aula-3-modelos-de-classificacao" TargetMode="External"/><Relationship Id="rId106" Type="http://schemas.openxmlformats.org/officeDocument/2006/relationships/hyperlink" Target="https://ead.preditiva.ai/53786-3-2-prevendo-o-futuro-parte-2/1391345-aplicacao-3-envio-de-e-mails-promocionais" TargetMode="External"/><Relationship Id="rId127" Type="http://schemas.openxmlformats.org/officeDocument/2006/relationships/hyperlink" Target="https://ead.preditiva.ai/53582-2-analise-de-correlacao-e-associacao/1183544-aula-13-demonstracao-information-value" TargetMode="External"/><Relationship Id="rId10" Type="http://schemas.openxmlformats.org/officeDocument/2006/relationships/hyperlink" Target="https://ead.preditiva.ai/53798-13-metodo-crisp-dm/1391410-aula-4-preparacao-dos-dados" TargetMode="External"/><Relationship Id="rId31" Type="http://schemas.openxmlformats.org/officeDocument/2006/relationships/hyperlink" Target="https://ead.preditiva.ai/53799-11-fundamentos-de-bi-extracao-e-visualizacao-de-dados-usando-sql-e-power-bi/1368613-aula-20-power-bi-dax-data-analysis-expressions" TargetMode="External"/><Relationship Id="rId52" Type="http://schemas.openxmlformats.org/officeDocument/2006/relationships/hyperlink" Target="https://ead.preditiva.ai/53799-11-fundamentos-de-bi-extracao-e-visualizacao-de-dados-usando-sql-e-power-bi/1341263-aula-3-sql-select-where-e-order-by" TargetMode="External"/><Relationship Id="rId73" Type="http://schemas.openxmlformats.org/officeDocument/2006/relationships/hyperlink" Target="https://ead.preditiva.ai/57958-8-topicos-de-data-science/1296721-para-que-servem-os-modelos" TargetMode="External"/><Relationship Id="rId94" Type="http://schemas.openxmlformats.org/officeDocument/2006/relationships/hyperlink" Target="https://ead.preditiva.ai/53789-4-como-estimar-medidas-com-poucos-dados/1391396-aplicacao-3-conversao-de-vendas" TargetMode="External"/><Relationship Id="rId148" Type="http://schemas.openxmlformats.org/officeDocument/2006/relationships/hyperlink" Target="https://ead.preditiva.ai/53785-10-microsoft-excel-para-analytics/1368493-aula-30-grafico-de-dispersao-scatter-plot" TargetMode="External"/><Relationship Id="rId169" Type="http://schemas.openxmlformats.org/officeDocument/2006/relationships/hyperlink" Target="https://ead.preditiva.ai/53785-10-microsoft-excel-para-analytics/1368369-aula-10-o-que-e-uma-funcao" TargetMode="External"/><Relationship Id="rId4" Type="http://schemas.openxmlformats.org/officeDocument/2006/relationships/hyperlink" Target="https://ead.preditiva.ai/61404-14-calculando-o-valor-de-um-projeto-de-dados-e-apresentando-os-resultados/1391419-aula-1-mensurando-o-potencial-de-um-projeto-de-dados" TargetMode="External"/><Relationship Id="rId180" Type="http://schemas.openxmlformats.org/officeDocument/2006/relationships/hyperlink" Target="https://ead.preditiva.ai/65765-9-diagnostico-e-interpretacao-de-modelos/1686444-hands-on-deteccao-de-diabetes" TargetMode="External"/><Relationship Id="rId215" Type="http://schemas.openxmlformats.org/officeDocument/2006/relationships/hyperlink" Target="https://ead.preditiva.ai/61410-11-regressao-linear-multipla-no-python/1391486-hands-on-2-variaveis-explicativas-qualitativas" TargetMode="External"/><Relationship Id="rId236" Type="http://schemas.openxmlformats.org/officeDocument/2006/relationships/hyperlink" Target="https://ead.preditiva.ai/61748-14-ensemble-de-modelos-no-python/1398697-hands-on-1-melhorando-a-concessao-de-credito" TargetMode="External"/><Relationship Id="rId257" Type="http://schemas.openxmlformats.org/officeDocument/2006/relationships/hyperlink" Target="https://ead.preditiva.ai/61747-18-redes-neurais-artificiais-no-python/1686402-aula-2-hiperparametros-e-aprendizagem" TargetMode="External"/><Relationship Id="rId278" Type="http://schemas.openxmlformats.org/officeDocument/2006/relationships/hyperlink" Target="https://ead.preditiva.ai/70698-20-processamento-de-linguagem-natural-nlp/1626122-aula-9-modelos-de-classificacao-utilizando-textos" TargetMode="External"/><Relationship Id="rId42" Type="http://schemas.openxmlformats.org/officeDocument/2006/relationships/hyperlink" Target="https://ead.preditiva.ai/53799-11-fundamentos-de-bi-extracao-e-visualizacao-de-dados-usando-sql-e-power-bi/1342070-aula-9-power-bi-joins" TargetMode="External"/><Relationship Id="rId84" Type="http://schemas.openxmlformats.org/officeDocument/2006/relationships/hyperlink" Target="https://ead.preditiva.ai/65757-5-testes-a-b-testes-de-hipoteses/1502491-aula-14-a-importancia-do-metodo-cientifico" TargetMode="External"/><Relationship Id="rId138" Type="http://schemas.openxmlformats.org/officeDocument/2006/relationships/hyperlink" Target="https://ead.preditiva.ai/65572-1-como-resumir-e-interpretar-os-dados/1497967-aula-4-como-utilizar-a-mediana" TargetMode="External"/><Relationship Id="rId191" Type="http://schemas.openxmlformats.org/officeDocument/2006/relationships/hyperlink" Target="https://ead.preditiva.ai/61891-10-nivelamento-em-matematica-para-data-science/1401292-aula-3-funcoes-lineares-e-por-partes" TargetMode="External"/><Relationship Id="rId205" Type="http://schemas.openxmlformats.org/officeDocument/2006/relationships/hyperlink" Target="https://ead.preditiva.ai/61891-10-nivelamento-em-matematica-para-data-science/1627386-aula-17-vetores-e-suas-operacoes" TargetMode="External"/><Relationship Id="rId247" Type="http://schemas.openxmlformats.org/officeDocument/2006/relationships/hyperlink" Target="https://ead.preditiva.ai/70702-15-clusterizacao/1626148-hands-on-pagamento-de-divida-resolucao" TargetMode="External"/><Relationship Id="rId107" Type="http://schemas.openxmlformats.org/officeDocument/2006/relationships/hyperlink" Target="https://ead.preditiva.ai/53786-3-2-prevendo-o-futuro-parte-2/1391338-aula-8-outras-distribuicoes-de-probabilidades" TargetMode="External"/><Relationship Id="rId289" Type="http://schemas.openxmlformats.org/officeDocument/2006/relationships/hyperlink" Target="https://ead.preditiva.ai/65765-9-diagnostico-e-interpretacao-de-modelos/1686449-hands-on-deteccao-de-diabetes-resolucao" TargetMode="External"/><Relationship Id="rId11" Type="http://schemas.openxmlformats.org/officeDocument/2006/relationships/hyperlink" Target="https://ead.preditiva.ai/53798-13-metodo-crisp-dm/1391409-aula-3-entendimento-dos-dados" TargetMode="External"/><Relationship Id="rId53" Type="http://schemas.openxmlformats.org/officeDocument/2006/relationships/hyperlink" Target="https://ead.preditiva.ai/53799-11-fundamentos-de-bi-extracao-e-visualizacao-de-dados-usando-sql-e-power-bi/1368565-aula-2-configuracao-de-client-sql-e-instalacao-do-power-bi" TargetMode="External"/><Relationship Id="rId149" Type="http://schemas.openxmlformats.org/officeDocument/2006/relationships/hyperlink" Target="https://ead.preditiva.ai/53785-10-microsoft-excel-para-analytics/1368492-aula-29-grafico-de-caixas-estreitas-box-plot" TargetMode="External"/><Relationship Id="rId95" Type="http://schemas.openxmlformats.org/officeDocument/2006/relationships/hyperlink" Target="https://ead.preditiva.ai/53789-4-como-estimar-medidas-com-poucos-dados/1391393-aplicacao-2-adequacao-de-automoveis-aos-suecos-parte-1" TargetMode="External"/><Relationship Id="rId160" Type="http://schemas.openxmlformats.org/officeDocument/2006/relationships/hyperlink" Target="https://ead.preditiva.ai/53785-10-microsoft-excel-para-analytics/1368390-exercicio-2-formulas-e-funcoes-do-excel" TargetMode="External"/><Relationship Id="rId216" Type="http://schemas.openxmlformats.org/officeDocument/2006/relationships/hyperlink" Target="https://ead.preditiva.ai/61410-11-regressao-linear-multipla-no-python/1391494-aula-5-diagnostico-do-modelo" TargetMode="External"/><Relationship Id="rId258" Type="http://schemas.openxmlformats.org/officeDocument/2006/relationships/hyperlink" Target="https://ead.preditiva.ai/61747-18-redes-neurais-artificiais-no-python/1686404-aula-3-modelos-de-classificacao" TargetMode="External"/><Relationship Id="rId22" Type="http://schemas.openxmlformats.org/officeDocument/2006/relationships/hyperlink" Target="https://ead.preditiva.ai/61407-12-python-para-analise-de-dados/1391437-aula-9-pandas-tratamento-de-variaveis-e-datas" TargetMode="External"/><Relationship Id="rId64" Type="http://schemas.openxmlformats.org/officeDocument/2006/relationships/hyperlink" Target="https://ead.preditiva.ai/65765-9-diagnostico-de-modelos/1502764-aula-7-tipos-de-validacao" TargetMode="External"/><Relationship Id="rId118" Type="http://schemas.openxmlformats.org/officeDocument/2006/relationships/hyperlink" Target="https://ead.preditiva.ai/65583-3-prevendo-o-futuro/1498122-aula-5-teoria-axiomatica" TargetMode="External"/><Relationship Id="rId171" Type="http://schemas.openxmlformats.org/officeDocument/2006/relationships/hyperlink" Target="https://ead.preditiva.ai/53785-10-microsoft-excel-para-analytics/1368364-aula-08-formatacao-condicional" TargetMode="External"/><Relationship Id="rId227" Type="http://schemas.openxmlformats.org/officeDocument/2006/relationships/hyperlink" Target="https://ead.preditiva.ai/61746-13-arvores-de-decisao/1398669-aula-3-modelos-de-classificacao-demonstracao" TargetMode="External"/><Relationship Id="rId269" Type="http://schemas.openxmlformats.org/officeDocument/2006/relationships/hyperlink" Target="https://ead.preditiva.ai/74307-19-otimizacao-de-modelos/1686760-aula-7-undersampl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7003-BEA7-A14B-8CBA-7009ADA21AD4}">
  <sheetPr codeName="Planilha3"/>
  <dimension ref="A1:I29"/>
  <sheetViews>
    <sheetView showGridLines="0" showRowColHeaders="0" tabSelected="1" zoomScale="160" zoomScaleNormal="160" workbookViewId="0">
      <pane ySplit="8" topLeftCell="A9" activePane="bottomLeft" state="frozen"/>
      <selection pane="bottomLeft" activeCell="D12" sqref="D12"/>
    </sheetView>
  </sheetViews>
  <sheetFormatPr baseColWidth="10" defaultColWidth="0" defaultRowHeight="16" zeroHeight="1" x14ac:dyDescent="0.2"/>
  <cols>
    <col min="1" max="1" width="8.5" customWidth="1"/>
    <col min="2" max="2" width="10.83203125" customWidth="1"/>
    <col min="3" max="3" width="12.83203125" style="2" customWidth="1"/>
    <col min="4" max="4" width="31.33203125" style="6" customWidth="1"/>
    <col min="5" max="5" width="9.5" style="2" bestFit="1" customWidth="1"/>
    <col min="6" max="6" width="21.1640625" style="2" bestFit="1" customWidth="1"/>
    <col min="7" max="7" width="23" style="2" bestFit="1" customWidth="1"/>
    <col min="8" max="8" width="9.33203125" style="2" customWidth="1"/>
    <col min="9" max="9" width="9.6640625" style="2" hidden="1" customWidth="1"/>
    <col min="10" max="16384" width="10.83203125" hidden="1"/>
  </cols>
  <sheetData>
    <row r="1" spans="1:4" x14ac:dyDescent="0.2">
      <c r="A1" s="42" t="b">
        <v>1</v>
      </c>
    </row>
    <row r="2" spans="1:4" x14ac:dyDescent="0.2">
      <c r="A2" s="42" t="b">
        <v>1</v>
      </c>
    </row>
    <row r="3" spans="1:4" x14ac:dyDescent="0.2">
      <c r="A3" s="42" t="b">
        <v>1</v>
      </c>
    </row>
    <row r="4" spans="1:4" ht="25" customHeight="1" x14ac:dyDescent="0.2">
      <c r="A4" s="42" t="b">
        <v>1</v>
      </c>
    </row>
    <row r="5" spans="1:4" ht="9" hidden="1" customHeight="1" x14ac:dyDescent="0.2">
      <c r="A5" s="42" t="b">
        <v>1</v>
      </c>
    </row>
    <row r="6" spans="1:4" ht="9" hidden="1" customHeight="1" x14ac:dyDescent="0.2">
      <c r="A6" s="42" t="b">
        <v>0</v>
      </c>
    </row>
    <row r="7" spans="1:4" ht="5" hidden="1" customHeight="1" x14ac:dyDescent="0.2">
      <c r="A7" s="42" t="b">
        <v>0</v>
      </c>
    </row>
    <row r="8" spans="1:4" ht="5" customHeight="1" x14ac:dyDescent="0.2">
      <c r="A8" s="20"/>
    </row>
    <row r="9" spans="1:4" x14ac:dyDescent="0.2">
      <c r="A9" s="20"/>
    </row>
    <row r="10" spans="1:4" x14ac:dyDescent="0.2">
      <c r="A10" s="20"/>
    </row>
    <row r="11" spans="1:4" ht="17" x14ac:dyDescent="0.2">
      <c r="A11" s="20"/>
      <c r="D11" s="5" t="s">
        <v>320</v>
      </c>
    </row>
    <row r="12" spans="1:4" ht="23" customHeight="1" x14ac:dyDescent="0.2">
      <c r="D12" s="44"/>
    </row>
    <row r="13" spans="1:4" ht="12" customHeight="1" x14ac:dyDescent="0.2"/>
    <row r="14" spans="1:4" ht="34" customHeight="1" x14ac:dyDescent="0.2">
      <c r="D14" s="5" t="s">
        <v>178</v>
      </c>
    </row>
    <row r="15" spans="1:4" ht="23" customHeight="1" x14ac:dyDescent="0.2">
      <c r="D15" s="44"/>
    </row>
    <row r="16" spans="1:4" ht="12" customHeight="1" x14ac:dyDescent="0.2"/>
    <row r="17" spans="3:9" ht="17" x14ac:dyDescent="0.2">
      <c r="D17" s="5" t="s">
        <v>40</v>
      </c>
    </row>
    <row r="18" spans="3:9" x14ac:dyDescent="0.2"/>
    <row r="19" spans="3:9" ht="18" x14ac:dyDescent="0.2">
      <c r="C19" s="3"/>
      <c r="D19" s="7"/>
      <c r="E19" s="3"/>
      <c r="F19" s="3"/>
      <c r="G19" s="3"/>
      <c r="H19" s="3"/>
      <c r="I19" s="3"/>
    </row>
    <row r="20" spans="3:9" ht="12" customHeight="1" x14ac:dyDescent="0.2"/>
    <row r="21" spans="3:9" ht="34" x14ac:dyDescent="0.2">
      <c r="D21" s="5" t="s">
        <v>41</v>
      </c>
    </row>
    <row r="22" spans="3:9" ht="23" customHeight="1" x14ac:dyDescent="0.2">
      <c r="D22" s="43"/>
    </row>
    <row r="23" spans="3:9" x14ac:dyDescent="0.2"/>
    <row r="24" spans="3:9" x14ac:dyDescent="0.2">
      <c r="C24" s="45"/>
    </row>
    <row r="25" spans="3:9" x14ac:dyDescent="0.2"/>
    <row r="26" spans="3:9" x14ac:dyDescent="0.2"/>
    <row r="27" spans="3:9" x14ac:dyDescent="0.2"/>
    <row r="28" spans="3:9" x14ac:dyDescent="0.2"/>
    <row r="29" spans="3:9" x14ac:dyDescent="0.2"/>
  </sheetData>
  <sheetProtection sheet="1" objects="1" scenarios="1"/>
  <conditionalFormatting sqref="D12">
    <cfRule type="containsBlanks" dxfId="8" priority="3">
      <formula>LEN(TRIM(D12))=0</formula>
    </cfRule>
  </conditionalFormatting>
  <conditionalFormatting sqref="D15 D22">
    <cfRule type="containsBlanks" dxfId="7" priority="1">
      <formula>LEN(TRIM(D15))=0</formula>
    </cfRule>
  </conditionalFormatting>
  <dataValidations count="3">
    <dataValidation type="list" allowBlank="1" showInputMessage="1" showErrorMessage="1" sqref="D15" xr:uid="{AA42C705-62E8-6B42-817D-C9FFA03F45DC}">
      <formula1>"30 min,45 min,1h,1h 30min"</formula1>
    </dataValidation>
    <dataValidation type="list" allowBlank="1" showInputMessage="1" showErrorMessage="1" sqref="D12" xr:uid="{0F930E1D-69B7-CF40-AB79-600F2C5E203A}">
      <formula1>"Fundamentos de Data Analytics,Data Analytics,Data Science"</formula1>
    </dataValidation>
    <dataValidation type="date" operator="greaterThan" showInputMessage="1" showErrorMessage="1" errorTitle="Data incorreta" error="Insira uma data válida no formato DD/MM/AAAA._x000a__x000a_Apenas datas superiores a 01/06/2022 são permitidas." sqref="D22" xr:uid="{43B0B4B0-BBCC-7C4F-8767-1AEC7DA33ECF}">
      <formula1>44713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Check Box 5">
              <controlPr defaultSize="0" autoFill="0" autoLine="0" autoPict="0">
                <anchor moveWithCells="1">
                  <from>
                    <xdr:col>1</xdr:col>
                    <xdr:colOff>647700</xdr:colOff>
                    <xdr:row>17</xdr:row>
                    <xdr:rowOff>114300</xdr:rowOff>
                  </from>
                  <to>
                    <xdr:col>2</xdr:col>
                    <xdr:colOff>482600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Check Box 9">
              <controlPr defaultSize="0" autoFill="0" autoLine="0" autoPict="0">
                <anchor moveWithCells="1">
                  <from>
                    <xdr:col>2</xdr:col>
                    <xdr:colOff>546100</xdr:colOff>
                    <xdr:row>17</xdr:row>
                    <xdr:rowOff>114300</xdr:rowOff>
                  </from>
                  <to>
                    <xdr:col>3</xdr:col>
                    <xdr:colOff>215900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Check Box 10">
              <controlPr defaultSize="0" autoFill="0" autoLine="0" autoPict="0">
                <anchor moveWithCells="1">
                  <from>
                    <xdr:col>3</xdr:col>
                    <xdr:colOff>241300</xdr:colOff>
                    <xdr:row>17</xdr:row>
                    <xdr:rowOff>114300</xdr:rowOff>
                  </from>
                  <to>
                    <xdr:col>3</xdr:col>
                    <xdr:colOff>901700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Check Box 11">
              <controlPr defaultSize="0" autoFill="0" autoLine="0" autoPict="0">
                <anchor moveWithCells="1">
                  <from>
                    <xdr:col>3</xdr:col>
                    <xdr:colOff>977900</xdr:colOff>
                    <xdr:row>17</xdr:row>
                    <xdr:rowOff>114300</xdr:rowOff>
                  </from>
                  <to>
                    <xdr:col>3</xdr:col>
                    <xdr:colOff>1638300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Check Box 12">
              <controlPr defaultSize="0" autoFill="0" autoLine="0" autoPict="0">
                <anchor moveWithCells="1">
                  <from>
                    <xdr:col>3</xdr:col>
                    <xdr:colOff>1689100</xdr:colOff>
                    <xdr:row>17</xdr:row>
                    <xdr:rowOff>114300</xdr:rowOff>
                  </from>
                  <to>
                    <xdr:col>3</xdr:col>
                    <xdr:colOff>2336800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Check Box 13">
              <controlPr defaultSize="0" autoFill="0" autoLine="0" autoPict="0">
                <anchor moveWithCells="1">
                  <from>
                    <xdr:col>3</xdr:col>
                    <xdr:colOff>2336800</xdr:colOff>
                    <xdr:row>17</xdr:row>
                    <xdr:rowOff>114300</xdr:rowOff>
                  </from>
                  <to>
                    <xdr:col>4</xdr:col>
                    <xdr:colOff>596900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Check Box 14">
              <controlPr defaultSize="0" autoFill="0" autoLine="0" autoPict="0">
                <anchor moveWithCells="1">
                  <from>
                    <xdr:col>4</xdr:col>
                    <xdr:colOff>609600</xdr:colOff>
                    <xdr:row>17</xdr:row>
                    <xdr:rowOff>114300</xdr:rowOff>
                  </from>
                  <to>
                    <xdr:col>5</xdr:col>
                    <xdr:colOff>533400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085D-1F03-6E4D-AC0E-C97D058562A5}">
  <sheetPr codeName="Planilha1"/>
  <dimension ref="A1:K297"/>
  <sheetViews>
    <sheetView zoomScale="137" zoomScaleNormal="195" workbookViewId="0"/>
  </sheetViews>
  <sheetFormatPr baseColWidth="10" defaultRowHeight="16" x14ac:dyDescent="0.2"/>
  <cols>
    <col min="1" max="1" width="8.1640625" style="2" customWidth="1"/>
    <col min="2" max="4" width="19.5" style="2" bestFit="1" customWidth="1"/>
    <col min="5" max="5" width="54.1640625" customWidth="1"/>
    <col min="6" max="6" width="20.6640625" customWidth="1"/>
    <col min="7" max="7" width="78.1640625" bestFit="1" customWidth="1"/>
    <col min="8" max="8" width="11.83203125" customWidth="1"/>
    <col min="9" max="9" width="13" style="2" customWidth="1"/>
  </cols>
  <sheetData>
    <row r="1" spans="1:10" ht="18" x14ac:dyDescent="0.2">
      <c r="A1" s="3" t="s">
        <v>32</v>
      </c>
      <c r="B1" s="3" t="s">
        <v>42</v>
      </c>
      <c r="C1" s="3" t="s">
        <v>43</v>
      </c>
      <c r="D1" s="3" t="s">
        <v>44</v>
      </c>
      <c r="E1" s="3" t="s">
        <v>26</v>
      </c>
      <c r="F1" s="1" t="s">
        <v>29</v>
      </c>
      <c r="G1" s="1" t="s">
        <v>25</v>
      </c>
      <c r="H1" s="1" t="s">
        <v>28</v>
      </c>
      <c r="I1" s="1" t="s">
        <v>38</v>
      </c>
    </row>
    <row r="2" spans="1:10" ht="19" customHeight="1" x14ac:dyDescent="0.2">
      <c r="A2" s="4">
        <v>1</v>
      </c>
      <c r="B2" s="4">
        <v>1</v>
      </c>
      <c r="C2" s="4">
        <v>1</v>
      </c>
      <c r="D2" s="4">
        <v>1</v>
      </c>
      <c r="E2" s="27" t="s">
        <v>188</v>
      </c>
      <c r="F2" s="50" t="s">
        <v>31</v>
      </c>
      <c r="G2" s="27" t="s">
        <v>96</v>
      </c>
      <c r="H2" s="28">
        <v>6.2962962962962964E-3</v>
      </c>
      <c r="I2" s="29" t="s">
        <v>27</v>
      </c>
      <c r="J2" s="41" t="s">
        <v>181</v>
      </c>
    </row>
    <row r="3" spans="1:10" ht="19" customHeight="1" x14ac:dyDescent="0.2">
      <c r="A3" s="4">
        <v>2</v>
      </c>
      <c r="B3" s="4">
        <v>1</v>
      </c>
      <c r="C3" s="4">
        <v>1</v>
      </c>
      <c r="D3" s="4">
        <v>1</v>
      </c>
      <c r="E3" s="27" t="s">
        <v>188</v>
      </c>
      <c r="F3" s="50" t="s">
        <v>31</v>
      </c>
      <c r="G3" s="27" t="s">
        <v>97</v>
      </c>
      <c r="H3" s="28">
        <v>7.4074074074074068E-3</v>
      </c>
      <c r="I3" s="29" t="s">
        <v>27</v>
      </c>
      <c r="J3" s="41" t="s">
        <v>181</v>
      </c>
    </row>
    <row r="4" spans="1:10" ht="19" customHeight="1" x14ac:dyDescent="0.2">
      <c r="A4" s="4">
        <v>3</v>
      </c>
      <c r="B4" s="4">
        <v>1</v>
      </c>
      <c r="C4" s="4">
        <v>1</v>
      </c>
      <c r="D4" s="4">
        <v>1</v>
      </c>
      <c r="E4" s="27" t="s">
        <v>188</v>
      </c>
      <c r="F4" s="50" t="s">
        <v>31</v>
      </c>
      <c r="G4" s="27" t="s">
        <v>98</v>
      </c>
      <c r="H4" s="28">
        <v>5.4861111111111117E-3</v>
      </c>
      <c r="I4" s="29" t="s">
        <v>27</v>
      </c>
      <c r="J4" s="41" t="s">
        <v>181</v>
      </c>
    </row>
    <row r="5" spans="1:10" ht="19" customHeight="1" x14ac:dyDescent="0.2">
      <c r="A5" s="4">
        <v>4</v>
      </c>
      <c r="B5" s="4">
        <v>1</v>
      </c>
      <c r="C5" s="4">
        <v>1</v>
      </c>
      <c r="D5" s="4">
        <v>1</v>
      </c>
      <c r="E5" s="27" t="s">
        <v>188</v>
      </c>
      <c r="F5" s="50" t="s">
        <v>31</v>
      </c>
      <c r="G5" s="27" t="s">
        <v>99</v>
      </c>
      <c r="H5" s="28">
        <v>1.0138888888888888E-2</v>
      </c>
      <c r="I5" s="29" t="s">
        <v>27</v>
      </c>
      <c r="J5" s="41" t="s">
        <v>181</v>
      </c>
    </row>
    <row r="6" spans="1:10" ht="19" customHeight="1" x14ac:dyDescent="0.2">
      <c r="A6" s="4">
        <v>5</v>
      </c>
      <c r="B6" s="4">
        <v>1</v>
      </c>
      <c r="C6" s="4">
        <v>1</v>
      </c>
      <c r="D6" s="4">
        <v>1</v>
      </c>
      <c r="E6" s="27" t="s">
        <v>188</v>
      </c>
      <c r="F6" s="50" t="s">
        <v>31</v>
      </c>
      <c r="G6" s="27" t="s">
        <v>100</v>
      </c>
      <c r="H6" s="28">
        <v>7.1180555555555554E-3</v>
      </c>
      <c r="I6" s="29" t="s">
        <v>27</v>
      </c>
      <c r="J6" s="41" t="s">
        <v>181</v>
      </c>
    </row>
    <row r="7" spans="1:10" ht="19" customHeight="1" x14ac:dyDescent="0.2">
      <c r="A7" s="4">
        <v>6</v>
      </c>
      <c r="B7" s="4">
        <v>1</v>
      </c>
      <c r="C7" s="4">
        <v>1</v>
      </c>
      <c r="D7" s="4">
        <v>1</v>
      </c>
      <c r="E7" s="27" t="s">
        <v>188</v>
      </c>
      <c r="F7" s="50" t="s">
        <v>30</v>
      </c>
      <c r="G7" s="27" t="s">
        <v>19</v>
      </c>
      <c r="H7" s="28">
        <v>2.0833333333333332E-2</v>
      </c>
      <c r="I7" s="29" t="s">
        <v>27</v>
      </c>
      <c r="J7" s="41" t="s">
        <v>181</v>
      </c>
    </row>
    <row r="8" spans="1:10" ht="19" customHeight="1" x14ac:dyDescent="0.2">
      <c r="A8" s="4">
        <v>7</v>
      </c>
      <c r="B8" s="4">
        <v>1</v>
      </c>
      <c r="C8" s="4">
        <v>1</v>
      </c>
      <c r="D8" s="4">
        <v>1</v>
      </c>
      <c r="E8" s="27" t="s">
        <v>188</v>
      </c>
      <c r="F8" s="50" t="s">
        <v>31</v>
      </c>
      <c r="G8" s="27" t="s">
        <v>101</v>
      </c>
      <c r="H8" s="28">
        <v>1.2060185185185186E-2</v>
      </c>
      <c r="I8" s="29" t="s">
        <v>27</v>
      </c>
      <c r="J8" s="41" t="s">
        <v>181</v>
      </c>
    </row>
    <row r="9" spans="1:10" ht="19" customHeight="1" x14ac:dyDescent="0.2">
      <c r="A9" s="4">
        <v>8</v>
      </c>
      <c r="B9" s="4">
        <v>1</v>
      </c>
      <c r="C9" s="4">
        <v>1</v>
      </c>
      <c r="D9" s="4">
        <v>1</v>
      </c>
      <c r="E9" s="27" t="s">
        <v>188</v>
      </c>
      <c r="F9" s="50" t="s">
        <v>31</v>
      </c>
      <c r="G9" s="27" t="s">
        <v>102</v>
      </c>
      <c r="H9" s="28">
        <v>1.1157407407407408E-2</v>
      </c>
      <c r="I9" s="29" t="s">
        <v>27</v>
      </c>
      <c r="J9" s="41" t="s">
        <v>181</v>
      </c>
    </row>
    <row r="10" spans="1:10" ht="19" customHeight="1" x14ac:dyDescent="0.2">
      <c r="A10" s="4">
        <v>9</v>
      </c>
      <c r="B10" s="4">
        <v>1</v>
      </c>
      <c r="C10" s="4">
        <v>1</v>
      </c>
      <c r="D10" s="4">
        <v>1</v>
      </c>
      <c r="E10" s="27" t="s">
        <v>188</v>
      </c>
      <c r="F10" s="50" t="s">
        <v>31</v>
      </c>
      <c r="G10" s="27" t="s">
        <v>103</v>
      </c>
      <c r="H10" s="28">
        <v>7.8125E-3</v>
      </c>
      <c r="I10" s="29" t="s">
        <v>27</v>
      </c>
      <c r="J10" s="41" t="s">
        <v>181</v>
      </c>
    </row>
    <row r="11" spans="1:10" ht="19" customHeight="1" x14ac:dyDescent="0.2">
      <c r="A11" s="4">
        <v>10</v>
      </c>
      <c r="B11" s="4">
        <v>1</v>
      </c>
      <c r="C11" s="4">
        <v>1</v>
      </c>
      <c r="D11" s="4">
        <v>1</v>
      </c>
      <c r="E11" s="27" t="s">
        <v>188</v>
      </c>
      <c r="F11" s="50" t="s">
        <v>31</v>
      </c>
      <c r="G11" s="27" t="s">
        <v>104</v>
      </c>
      <c r="H11" s="28">
        <v>6.2962962962962964E-3</v>
      </c>
      <c r="I11" s="29" t="s">
        <v>27</v>
      </c>
      <c r="J11" s="41" t="s">
        <v>181</v>
      </c>
    </row>
    <row r="12" spans="1:10" ht="19" customHeight="1" x14ac:dyDescent="0.2">
      <c r="A12" s="4">
        <v>11</v>
      </c>
      <c r="B12" s="4">
        <v>1</v>
      </c>
      <c r="C12" s="4">
        <v>1</v>
      </c>
      <c r="D12" s="4">
        <v>1</v>
      </c>
      <c r="E12" s="27" t="s">
        <v>188</v>
      </c>
      <c r="F12" s="50" t="s">
        <v>31</v>
      </c>
      <c r="G12" s="27" t="s">
        <v>105</v>
      </c>
      <c r="H12" s="28">
        <v>4.0856481481481481E-3</v>
      </c>
      <c r="I12" s="29" t="s">
        <v>27</v>
      </c>
      <c r="J12" s="41" t="s">
        <v>181</v>
      </c>
    </row>
    <row r="13" spans="1:10" ht="19" customHeight="1" x14ac:dyDescent="0.2">
      <c r="A13" s="4">
        <v>12</v>
      </c>
      <c r="B13" s="4">
        <v>1</v>
      </c>
      <c r="C13" s="4">
        <v>1</v>
      </c>
      <c r="D13" s="4">
        <v>1</v>
      </c>
      <c r="E13" s="27" t="s">
        <v>188</v>
      </c>
      <c r="F13" s="50" t="s">
        <v>31</v>
      </c>
      <c r="G13" s="27" t="s">
        <v>106</v>
      </c>
      <c r="H13" s="28">
        <v>1.1157407407407408E-2</v>
      </c>
      <c r="I13" s="29" t="s">
        <v>27</v>
      </c>
      <c r="J13" s="41" t="s">
        <v>181</v>
      </c>
    </row>
    <row r="14" spans="1:10" ht="19" customHeight="1" x14ac:dyDescent="0.2">
      <c r="A14" s="4">
        <v>13</v>
      </c>
      <c r="B14" s="4">
        <v>1</v>
      </c>
      <c r="C14" s="4">
        <v>1</v>
      </c>
      <c r="D14" s="4">
        <v>1</v>
      </c>
      <c r="E14" s="27" t="s">
        <v>188</v>
      </c>
      <c r="F14" s="50" t="s">
        <v>31</v>
      </c>
      <c r="G14" s="27" t="s">
        <v>107</v>
      </c>
      <c r="H14" s="28">
        <v>1.2743055555555556E-2</v>
      </c>
      <c r="I14" s="29" t="s">
        <v>27</v>
      </c>
      <c r="J14" s="41" t="s">
        <v>181</v>
      </c>
    </row>
    <row r="15" spans="1:10" ht="19" customHeight="1" x14ac:dyDescent="0.2">
      <c r="A15" s="4">
        <v>14</v>
      </c>
      <c r="B15" s="4">
        <v>1</v>
      </c>
      <c r="C15" s="4">
        <v>1</v>
      </c>
      <c r="D15" s="4">
        <v>1</v>
      </c>
      <c r="E15" s="27" t="s">
        <v>188</v>
      </c>
      <c r="F15" s="50" t="s">
        <v>31</v>
      </c>
      <c r="G15" s="27" t="s">
        <v>108</v>
      </c>
      <c r="H15" s="28">
        <v>1.2581018518518519E-2</v>
      </c>
      <c r="I15" s="29" t="s">
        <v>27</v>
      </c>
      <c r="J15" s="41" t="s">
        <v>181</v>
      </c>
    </row>
    <row r="16" spans="1:10" ht="19" customHeight="1" x14ac:dyDescent="0.2">
      <c r="A16" s="4">
        <v>15</v>
      </c>
      <c r="B16" s="4">
        <v>1</v>
      </c>
      <c r="C16" s="4">
        <v>1</v>
      </c>
      <c r="D16" s="4">
        <v>1</v>
      </c>
      <c r="E16" s="27" t="s">
        <v>188</v>
      </c>
      <c r="F16" s="50" t="s">
        <v>31</v>
      </c>
      <c r="G16" s="27" t="s">
        <v>109</v>
      </c>
      <c r="H16" s="28">
        <v>9.6643518518518511E-3</v>
      </c>
      <c r="I16" s="29" t="s">
        <v>27</v>
      </c>
      <c r="J16" s="41" t="s">
        <v>181</v>
      </c>
    </row>
    <row r="17" spans="1:10" ht="19" customHeight="1" x14ac:dyDescent="0.2">
      <c r="A17" s="4">
        <v>16</v>
      </c>
      <c r="B17" s="4">
        <v>1</v>
      </c>
      <c r="C17" s="4">
        <v>1</v>
      </c>
      <c r="D17" s="4">
        <v>1</v>
      </c>
      <c r="E17" s="27" t="s">
        <v>188</v>
      </c>
      <c r="F17" s="50" t="s">
        <v>31</v>
      </c>
      <c r="G17" s="27" t="s">
        <v>110</v>
      </c>
      <c r="H17" s="28">
        <v>1.5219907407407409E-2</v>
      </c>
      <c r="I17" s="29" t="s">
        <v>27</v>
      </c>
      <c r="J17" s="41" t="s">
        <v>181</v>
      </c>
    </row>
    <row r="18" spans="1:10" ht="19" customHeight="1" x14ac:dyDescent="0.2">
      <c r="A18" s="4">
        <v>17</v>
      </c>
      <c r="B18" s="4">
        <v>1</v>
      </c>
      <c r="C18" s="4">
        <v>1</v>
      </c>
      <c r="D18" s="4">
        <v>1</v>
      </c>
      <c r="E18" s="27" t="s">
        <v>188</v>
      </c>
      <c r="F18" s="50" t="s">
        <v>31</v>
      </c>
      <c r="G18" s="27" t="s">
        <v>111</v>
      </c>
      <c r="H18" s="28">
        <v>1.1921296296296298E-2</v>
      </c>
      <c r="I18" s="29" t="s">
        <v>27</v>
      </c>
      <c r="J18" s="41" t="s">
        <v>181</v>
      </c>
    </row>
    <row r="19" spans="1:10" ht="19" customHeight="1" x14ac:dyDescent="0.2">
      <c r="A19" s="4">
        <v>18</v>
      </c>
      <c r="B19" s="4">
        <v>1</v>
      </c>
      <c r="C19" s="4">
        <v>1</v>
      </c>
      <c r="D19" s="4">
        <v>1</v>
      </c>
      <c r="E19" s="27" t="s">
        <v>188</v>
      </c>
      <c r="F19" s="50" t="s">
        <v>31</v>
      </c>
      <c r="G19" s="27" t="s">
        <v>112</v>
      </c>
      <c r="H19" s="28">
        <v>7.4305555555555548E-3</v>
      </c>
      <c r="I19" s="29" t="s">
        <v>27</v>
      </c>
      <c r="J19" s="41" t="s">
        <v>181</v>
      </c>
    </row>
    <row r="20" spans="1:10" ht="19" customHeight="1" x14ac:dyDescent="0.2">
      <c r="A20" s="4">
        <v>19</v>
      </c>
      <c r="B20" s="4">
        <v>1</v>
      </c>
      <c r="C20" s="4">
        <v>1</v>
      </c>
      <c r="D20" s="4">
        <v>1</v>
      </c>
      <c r="E20" s="27" t="s">
        <v>188</v>
      </c>
      <c r="F20" s="50" t="s">
        <v>31</v>
      </c>
      <c r="G20" s="27" t="s">
        <v>113</v>
      </c>
      <c r="H20" s="28">
        <v>1.0162037037037037E-2</v>
      </c>
      <c r="I20" s="29" t="s">
        <v>27</v>
      </c>
      <c r="J20" s="41" t="s">
        <v>181</v>
      </c>
    </row>
    <row r="21" spans="1:10" ht="19" customHeight="1" x14ac:dyDescent="0.2">
      <c r="A21" s="4">
        <v>20</v>
      </c>
      <c r="B21" s="4">
        <v>1</v>
      </c>
      <c r="C21" s="4">
        <v>1</v>
      </c>
      <c r="D21" s="4">
        <v>1</v>
      </c>
      <c r="E21" s="27" t="s">
        <v>188</v>
      </c>
      <c r="F21" s="50" t="s">
        <v>30</v>
      </c>
      <c r="G21" s="27" t="s">
        <v>20</v>
      </c>
      <c r="H21" s="28">
        <v>2.0833333333333332E-2</v>
      </c>
      <c r="I21" s="29" t="s">
        <v>27</v>
      </c>
      <c r="J21" s="41" t="s">
        <v>181</v>
      </c>
    </row>
    <row r="22" spans="1:10" ht="19" customHeight="1" x14ac:dyDescent="0.2">
      <c r="A22" s="4">
        <v>21</v>
      </c>
      <c r="B22" s="4">
        <v>1</v>
      </c>
      <c r="C22" s="4">
        <v>1</v>
      </c>
      <c r="D22" s="4">
        <v>1</v>
      </c>
      <c r="E22" s="27" t="s">
        <v>188</v>
      </c>
      <c r="F22" s="50" t="s">
        <v>31</v>
      </c>
      <c r="G22" s="27" t="s">
        <v>114</v>
      </c>
      <c r="H22" s="28">
        <v>1.3136574074074077E-2</v>
      </c>
      <c r="I22" s="29" t="s">
        <v>27</v>
      </c>
      <c r="J22" s="41" t="s">
        <v>181</v>
      </c>
    </row>
    <row r="23" spans="1:10" ht="19" customHeight="1" x14ac:dyDescent="0.2">
      <c r="A23" s="4">
        <v>22</v>
      </c>
      <c r="B23" s="4">
        <v>1</v>
      </c>
      <c r="C23" s="4">
        <v>1</v>
      </c>
      <c r="D23" s="4">
        <v>1</v>
      </c>
      <c r="E23" s="27" t="s">
        <v>188</v>
      </c>
      <c r="F23" s="50" t="s">
        <v>31</v>
      </c>
      <c r="G23" s="27" t="s">
        <v>115</v>
      </c>
      <c r="H23" s="28">
        <v>1.0335648148148148E-2</v>
      </c>
      <c r="I23" s="29" t="s">
        <v>27</v>
      </c>
      <c r="J23" s="41" t="s">
        <v>181</v>
      </c>
    </row>
    <row r="24" spans="1:10" ht="19" customHeight="1" x14ac:dyDescent="0.2">
      <c r="A24" s="4">
        <v>23</v>
      </c>
      <c r="B24" s="4">
        <v>1</v>
      </c>
      <c r="C24" s="4">
        <v>1</v>
      </c>
      <c r="D24" s="4">
        <v>1</v>
      </c>
      <c r="E24" s="27" t="s">
        <v>188</v>
      </c>
      <c r="F24" s="50" t="s">
        <v>31</v>
      </c>
      <c r="G24" s="27" t="s">
        <v>116</v>
      </c>
      <c r="H24" s="28">
        <v>1.1412037037037038E-2</v>
      </c>
      <c r="I24" s="29" t="s">
        <v>27</v>
      </c>
      <c r="J24" s="41" t="s">
        <v>181</v>
      </c>
    </row>
    <row r="25" spans="1:10" ht="19" customHeight="1" x14ac:dyDescent="0.2">
      <c r="A25" s="4">
        <v>24</v>
      </c>
      <c r="B25" s="4">
        <v>1</v>
      </c>
      <c r="C25" s="4">
        <v>1</v>
      </c>
      <c r="D25" s="4">
        <v>1</v>
      </c>
      <c r="E25" s="27" t="s">
        <v>188</v>
      </c>
      <c r="F25" s="50" t="s">
        <v>31</v>
      </c>
      <c r="G25" s="27" t="s">
        <v>117</v>
      </c>
      <c r="H25" s="28">
        <v>4.4444444444444444E-3</v>
      </c>
      <c r="I25" s="29" t="s">
        <v>27</v>
      </c>
      <c r="J25" s="41" t="s">
        <v>181</v>
      </c>
    </row>
    <row r="26" spans="1:10" ht="19" customHeight="1" x14ac:dyDescent="0.2">
      <c r="A26" s="4">
        <v>25</v>
      </c>
      <c r="B26" s="4">
        <v>1</v>
      </c>
      <c r="C26" s="4">
        <v>1</v>
      </c>
      <c r="D26" s="4">
        <v>1</v>
      </c>
      <c r="E26" s="27" t="s">
        <v>188</v>
      </c>
      <c r="F26" s="50" t="s">
        <v>31</v>
      </c>
      <c r="G26" s="27" t="s">
        <v>118</v>
      </c>
      <c r="H26" s="28">
        <v>1.064814814814815E-2</v>
      </c>
      <c r="I26" s="29" t="s">
        <v>27</v>
      </c>
      <c r="J26" s="41" t="s">
        <v>181</v>
      </c>
    </row>
    <row r="27" spans="1:10" ht="19" customHeight="1" x14ac:dyDescent="0.2">
      <c r="A27" s="4">
        <v>26</v>
      </c>
      <c r="B27" s="4">
        <v>1</v>
      </c>
      <c r="C27" s="4">
        <v>1</v>
      </c>
      <c r="D27" s="4">
        <v>1</v>
      </c>
      <c r="E27" s="27" t="s">
        <v>188</v>
      </c>
      <c r="F27" s="50" t="s">
        <v>31</v>
      </c>
      <c r="G27" s="27" t="s">
        <v>119</v>
      </c>
      <c r="H27" s="28">
        <v>1.0567129629629629E-2</v>
      </c>
      <c r="I27" s="29" t="s">
        <v>27</v>
      </c>
      <c r="J27" s="41" t="s">
        <v>181</v>
      </c>
    </row>
    <row r="28" spans="1:10" ht="19" customHeight="1" x14ac:dyDescent="0.2">
      <c r="A28" s="4">
        <v>27</v>
      </c>
      <c r="B28" s="4">
        <v>1</v>
      </c>
      <c r="C28" s="4">
        <v>1</v>
      </c>
      <c r="D28" s="4">
        <v>1</v>
      </c>
      <c r="E28" s="27" t="s">
        <v>188</v>
      </c>
      <c r="F28" s="50" t="s">
        <v>31</v>
      </c>
      <c r="G28" s="27" t="s">
        <v>120</v>
      </c>
      <c r="H28" s="28">
        <v>9.1898148148148139E-3</v>
      </c>
      <c r="I28" s="29" t="s">
        <v>27</v>
      </c>
      <c r="J28" s="41" t="s">
        <v>181</v>
      </c>
    </row>
    <row r="29" spans="1:10" ht="19" customHeight="1" x14ac:dyDescent="0.2">
      <c r="A29" s="4">
        <v>28</v>
      </c>
      <c r="B29" s="4">
        <v>1</v>
      </c>
      <c r="C29" s="4">
        <v>1</v>
      </c>
      <c r="D29" s="4">
        <v>1</v>
      </c>
      <c r="E29" s="27" t="s">
        <v>188</v>
      </c>
      <c r="F29" s="50" t="s">
        <v>31</v>
      </c>
      <c r="G29" s="27" t="s">
        <v>121</v>
      </c>
      <c r="H29" s="28">
        <v>7.1412037037037043E-3</v>
      </c>
      <c r="I29" s="29" t="s">
        <v>27</v>
      </c>
      <c r="J29" s="41" t="s">
        <v>181</v>
      </c>
    </row>
    <row r="30" spans="1:10" ht="19" customHeight="1" x14ac:dyDescent="0.2">
      <c r="A30" s="4">
        <v>29</v>
      </c>
      <c r="B30" s="4">
        <v>1</v>
      </c>
      <c r="C30" s="4">
        <v>1</v>
      </c>
      <c r="D30" s="4">
        <v>1</v>
      </c>
      <c r="E30" s="27" t="s">
        <v>188</v>
      </c>
      <c r="F30" s="50" t="s">
        <v>31</v>
      </c>
      <c r="G30" s="27" t="s">
        <v>122</v>
      </c>
      <c r="H30" s="28">
        <v>8.1249999999999985E-3</v>
      </c>
      <c r="I30" s="29" t="s">
        <v>27</v>
      </c>
      <c r="J30" s="41" t="s">
        <v>181</v>
      </c>
    </row>
    <row r="31" spans="1:10" ht="19" customHeight="1" x14ac:dyDescent="0.2">
      <c r="A31" s="4">
        <v>30</v>
      </c>
      <c r="B31" s="4">
        <v>1</v>
      </c>
      <c r="C31" s="4">
        <v>1</v>
      </c>
      <c r="D31" s="4">
        <v>1</v>
      </c>
      <c r="E31" s="27" t="s">
        <v>188</v>
      </c>
      <c r="F31" s="50" t="s">
        <v>31</v>
      </c>
      <c r="G31" s="27" t="s">
        <v>123</v>
      </c>
      <c r="H31" s="28">
        <v>7.3611111111111108E-3</v>
      </c>
      <c r="I31" s="29" t="s">
        <v>27</v>
      </c>
      <c r="J31" s="41" t="s">
        <v>181</v>
      </c>
    </row>
    <row r="32" spans="1:10" ht="19" customHeight="1" x14ac:dyDescent="0.2">
      <c r="A32" s="4">
        <v>31</v>
      </c>
      <c r="B32" s="4">
        <v>1</v>
      </c>
      <c r="C32" s="4">
        <v>1</v>
      </c>
      <c r="D32" s="4">
        <v>1</v>
      </c>
      <c r="E32" s="27" t="s">
        <v>188</v>
      </c>
      <c r="F32" s="50" t="s">
        <v>31</v>
      </c>
      <c r="G32" s="27" t="s">
        <v>124</v>
      </c>
      <c r="H32" s="28">
        <v>8.8657407407407417E-3</v>
      </c>
      <c r="I32" s="29" t="s">
        <v>27</v>
      </c>
      <c r="J32" s="41" t="s">
        <v>181</v>
      </c>
    </row>
    <row r="33" spans="1:10" ht="19" customHeight="1" x14ac:dyDescent="0.2">
      <c r="A33" s="4">
        <v>32</v>
      </c>
      <c r="B33" s="4">
        <v>1</v>
      </c>
      <c r="C33" s="4">
        <v>1</v>
      </c>
      <c r="D33" s="4">
        <v>1</v>
      </c>
      <c r="E33" s="27" t="s">
        <v>188</v>
      </c>
      <c r="F33" s="50" t="s">
        <v>31</v>
      </c>
      <c r="G33" s="27" t="s">
        <v>125</v>
      </c>
      <c r="H33" s="28">
        <v>9.0277777777777787E-3</v>
      </c>
      <c r="I33" s="29" t="s">
        <v>27</v>
      </c>
      <c r="J33" s="41" t="s">
        <v>181</v>
      </c>
    </row>
    <row r="34" spans="1:10" ht="19" customHeight="1" x14ac:dyDescent="0.2">
      <c r="A34" s="4">
        <v>33</v>
      </c>
      <c r="B34" s="4">
        <v>1</v>
      </c>
      <c r="C34" s="4">
        <v>1</v>
      </c>
      <c r="D34" s="4">
        <v>1</v>
      </c>
      <c r="E34" s="27" t="s">
        <v>188</v>
      </c>
      <c r="F34" s="50" t="s">
        <v>31</v>
      </c>
      <c r="G34" s="27" t="s">
        <v>126</v>
      </c>
      <c r="H34" s="28">
        <v>5.5902777777777782E-3</v>
      </c>
      <c r="I34" s="29" t="s">
        <v>27</v>
      </c>
      <c r="J34" s="41" t="s">
        <v>181</v>
      </c>
    </row>
    <row r="35" spans="1:10" ht="19" customHeight="1" x14ac:dyDescent="0.2">
      <c r="A35" s="4">
        <v>34</v>
      </c>
      <c r="B35" s="4">
        <v>1</v>
      </c>
      <c r="C35" s="4">
        <v>1</v>
      </c>
      <c r="D35" s="4">
        <v>1</v>
      </c>
      <c r="E35" s="27" t="s">
        <v>188</v>
      </c>
      <c r="F35" s="50" t="s">
        <v>31</v>
      </c>
      <c r="G35" s="27" t="s">
        <v>127</v>
      </c>
      <c r="H35" s="28">
        <v>6.030092592592593E-3</v>
      </c>
      <c r="I35" s="29" t="s">
        <v>27</v>
      </c>
      <c r="J35" s="41" t="s">
        <v>181</v>
      </c>
    </row>
    <row r="36" spans="1:10" ht="19" customHeight="1" x14ac:dyDescent="0.2">
      <c r="A36" s="4">
        <v>35</v>
      </c>
      <c r="B36" s="4">
        <v>1</v>
      </c>
      <c r="C36" s="4">
        <v>1</v>
      </c>
      <c r="D36" s="4">
        <v>1</v>
      </c>
      <c r="E36" s="27" t="s">
        <v>188</v>
      </c>
      <c r="F36" s="50" t="s">
        <v>30</v>
      </c>
      <c r="G36" s="27" t="s">
        <v>21</v>
      </c>
      <c r="H36" s="28">
        <v>2.0833333333333332E-2</v>
      </c>
      <c r="I36" s="29" t="s">
        <v>27</v>
      </c>
      <c r="J36" s="41" t="s">
        <v>181</v>
      </c>
    </row>
    <row r="37" spans="1:10" ht="19" customHeight="1" x14ac:dyDescent="0.2">
      <c r="A37" s="4">
        <v>36</v>
      </c>
      <c r="B37" s="4">
        <v>1</v>
      </c>
      <c r="C37" s="4">
        <v>1</v>
      </c>
      <c r="D37" s="4">
        <v>1</v>
      </c>
      <c r="E37" s="27" t="s">
        <v>189</v>
      </c>
      <c r="F37" s="50" t="s">
        <v>31</v>
      </c>
      <c r="G37" s="27" t="s">
        <v>45</v>
      </c>
      <c r="H37" s="28">
        <v>1.1805555555555555E-2</v>
      </c>
      <c r="I37" s="29" t="s">
        <v>27</v>
      </c>
      <c r="J37" s="41" t="s">
        <v>181</v>
      </c>
    </row>
    <row r="38" spans="1:10" ht="19" customHeight="1" x14ac:dyDescent="0.2">
      <c r="A38" s="4">
        <v>37</v>
      </c>
      <c r="B38" s="4">
        <v>1</v>
      </c>
      <c r="C38" s="4">
        <v>1</v>
      </c>
      <c r="D38" s="4">
        <v>1</v>
      </c>
      <c r="E38" s="27" t="s">
        <v>189</v>
      </c>
      <c r="F38" s="50" t="s">
        <v>31</v>
      </c>
      <c r="G38" s="27" t="s">
        <v>46</v>
      </c>
      <c r="H38" s="28">
        <v>1.1620370370370371E-2</v>
      </c>
      <c r="I38" s="29" t="s">
        <v>27</v>
      </c>
      <c r="J38" s="41" t="s">
        <v>181</v>
      </c>
    </row>
    <row r="39" spans="1:10" ht="19" customHeight="1" x14ac:dyDescent="0.2">
      <c r="A39" s="4">
        <v>38</v>
      </c>
      <c r="B39" s="4">
        <v>1</v>
      </c>
      <c r="C39" s="4">
        <v>1</v>
      </c>
      <c r="D39" s="4">
        <v>1</v>
      </c>
      <c r="E39" s="27" t="s">
        <v>189</v>
      </c>
      <c r="F39" s="50" t="s">
        <v>31</v>
      </c>
      <c r="G39" s="27" t="s">
        <v>47</v>
      </c>
      <c r="H39" s="28">
        <v>1.2233796296296296E-2</v>
      </c>
      <c r="I39" s="29" t="s">
        <v>27</v>
      </c>
      <c r="J39" s="41" t="s">
        <v>181</v>
      </c>
    </row>
    <row r="40" spans="1:10" ht="19" customHeight="1" x14ac:dyDescent="0.2">
      <c r="A40" s="4">
        <v>39</v>
      </c>
      <c r="B40" s="4">
        <v>1</v>
      </c>
      <c r="C40" s="4">
        <v>1</v>
      </c>
      <c r="D40" s="4">
        <v>1</v>
      </c>
      <c r="E40" s="27" t="s">
        <v>189</v>
      </c>
      <c r="F40" s="50" t="s">
        <v>31</v>
      </c>
      <c r="G40" s="27" t="s">
        <v>48</v>
      </c>
      <c r="H40" s="28">
        <v>8.1597222222222227E-3</v>
      </c>
      <c r="I40" s="29" t="s">
        <v>27</v>
      </c>
      <c r="J40" s="41" t="s">
        <v>181</v>
      </c>
    </row>
    <row r="41" spans="1:10" ht="19" customHeight="1" x14ac:dyDescent="0.2">
      <c r="A41" s="4">
        <v>40</v>
      </c>
      <c r="B41" s="4">
        <v>1</v>
      </c>
      <c r="C41" s="4">
        <v>1</v>
      </c>
      <c r="D41" s="4">
        <v>1</v>
      </c>
      <c r="E41" s="27" t="s">
        <v>189</v>
      </c>
      <c r="F41" s="50" t="s">
        <v>31</v>
      </c>
      <c r="G41" s="27" t="s">
        <v>49</v>
      </c>
      <c r="H41" s="28">
        <v>1.0324074074074074E-2</v>
      </c>
      <c r="I41" s="29" t="s">
        <v>27</v>
      </c>
      <c r="J41" s="41" t="s">
        <v>181</v>
      </c>
    </row>
    <row r="42" spans="1:10" ht="19" customHeight="1" x14ac:dyDescent="0.2">
      <c r="A42" s="4">
        <v>41</v>
      </c>
      <c r="B42" s="4">
        <v>1</v>
      </c>
      <c r="C42" s="4">
        <v>1</v>
      </c>
      <c r="D42" s="4">
        <v>1</v>
      </c>
      <c r="E42" s="27" t="s">
        <v>189</v>
      </c>
      <c r="F42" s="50" t="s">
        <v>31</v>
      </c>
      <c r="G42" s="27" t="s">
        <v>50</v>
      </c>
      <c r="H42" s="28">
        <v>1.7546296296296296E-2</v>
      </c>
      <c r="I42" s="29" t="s">
        <v>27</v>
      </c>
      <c r="J42" s="41" t="s">
        <v>181</v>
      </c>
    </row>
    <row r="43" spans="1:10" ht="19" customHeight="1" x14ac:dyDescent="0.2">
      <c r="A43" s="4">
        <v>42</v>
      </c>
      <c r="B43" s="4">
        <v>1</v>
      </c>
      <c r="C43" s="4">
        <v>1</v>
      </c>
      <c r="D43" s="4">
        <v>1</v>
      </c>
      <c r="E43" s="27" t="s">
        <v>189</v>
      </c>
      <c r="F43" s="50" t="s">
        <v>31</v>
      </c>
      <c r="G43" s="27" t="s">
        <v>51</v>
      </c>
      <c r="H43" s="28">
        <v>8.217592592592594E-3</v>
      </c>
      <c r="I43" s="29" t="s">
        <v>27</v>
      </c>
      <c r="J43" s="41" t="s">
        <v>181</v>
      </c>
    </row>
    <row r="44" spans="1:10" ht="19" customHeight="1" x14ac:dyDescent="0.2">
      <c r="A44" s="4">
        <v>43</v>
      </c>
      <c r="B44" s="4">
        <v>1</v>
      </c>
      <c r="C44" s="4">
        <v>1</v>
      </c>
      <c r="D44" s="4">
        <v>1</v>
      </c>
      <c r="E44" s="27" t="s">
        <v>189</v>
      </c>
      <c r="F44" s="50" t="s">
        <v>31</v>
      </c>
      <c r="G44" s="27" t="s">
        <v>52</v>
      </c>
      <c r="H44" s="28">
        <v>6.5856481481481469E-3</v>
      </c>
      <c r="I44" s="29" t="s">
        <v>27</v>
      </c>
      <c r="J44" s="41" t="s">
        <v>181</v>
      </c>
    </row>
    <row r="45" spans="1:10" ht="19" customHeight="1" x14ac:dyDescent="0.2">
      <c r="A45" s="4">
        <v>44</v>
      </c>
      <c r="B45" s="4">
        <v>1</v>
      </c>
      <c r="C45" s="4">
        <v>1</v>
      </c>
      <c r="D45" s="4">
        <v>1</v>
      </c>
      <c r="E45" s="27" t="s">
        <v>189</v>
      </c>
      <c r="F45" s="50" t="s">
        <v>31</v>
      </c>
      <c r="G45" s="27" t="s">
        <v>53</v>
      </c>
      <c r="H45" s="28">
        <v>1.6053240740740739E-2</v>
      </c>
      <c r="I45" s="29" t="s">
        <v>27</v>
      </c>
      <c r="J45" s="41" t="s">
        <v>181</v>
      </c>
    </row>
    <row r="46" spans="1:10" ht="19" customHeight="1" x14ac:dyDescent="0.2">
      <c r="A46" s="4">
        <v>45</v>
      </c>
      <c r="B46" s="4">
        <v>1</v>
      </c>
      <c r="C46" s="4">
        <v>1</v>
      </c>
      <c r="D46" s="4">
        <v>1</v>
      </c>
      <c r="E46" s="27" t="s">
        <v>189</v>
      </c>
      <c r="F46" s="50" t="s">
        <v>30</v>
      </c>
      <c r="G46" s="27" t="s">
        <v>0</v>
      </c>
      <c r="H46" s="28">
        <v>2.0833333333333332E-2</v>
      </c>
      <c r="I46" s="29" t="s">
        <v>27</v>
      </c>
      <c r="J46" s="41" t="s">
        <v>181</v>
      </c>
    </row>
    <row r="47" spans="1:10" ht="19" customHeight="1" x14ac:dyDescent="0.2">
      <c r="A47" s="4">
        <v>46</v>
      </c>
      <c r="B47" s="4">
        <v>1</v>
      </c>
      <c r="C47" s="4">
        <v>1</v>
      </c>
      <c r="D47" s="4">
        <v>1</v>
      </c>
      <c r="E47" s="27" t="s">
        <v>189</v>
      </c>
      <c r="F47" s="50" t="s">
        <v>30</v>
      </c>
      <c r="G47" s="27" t="s">
        <v>1</v>
      </c>
      <c r="H47" s="28">
        <v>2.0833333333333332E-2</v>
      </c>
      <c r="I47" s="29" t="s">
        <v>27</v>
      </c>
      <c r="J47" s="41" t="s">
        <v>181</v>
      </c>
    </row>
    <row r="48" spans="1:10" ht="19" customHeight="1" x14ac:dyDescent="0.2">
      <c r="A48" s="4">
        <v>47</v>
      </c>
      <c r="B48" s="4">
        <v>1</v>
      </c>
      <c r="C48" s="4">
        <v>1</v>
      </c>
      <c r="D48" s="4">
        <v>1</v>
      </c>
      <c r="E48" s="27" t="s">
        <v>190</v>
      </c>
      <c r="F48" s="50" t="s">
        <v>31</v>
      </c>
      <c r="G48" s="27" t="s">
        <v>326</v>
      </c>
      <c r="H48" s="28">
        <v>1.3460648148148147E-2</v>
      </c>
      <c r="I48" s="29" t="s">
        <v>27</v>
      </c>
      <c r="J48" s="41" t="s">
        <v>181</v>
      </c>
    </row>
    <row r="49" spans="1:10" ht="19" customHeight="1" x14ac:dyDescent="0.2">
      <c r="A49" s="4">
        <v>48</v>
      </c>
      <c r="B49" s="4">
        <v>1</v>
      </c>
      <c r="C49" s="4">
        <v>1</v>
      </c>
      <c r="D49" s="4">
        <v>1</v>
      </c>
      <c r="E49" s="27" t="s">
        <v>190</v>
      </c>
      <c r="F49" s="50" t="s">
        <v>31</v>
      </c>
      <c r="G49" s="27" t="s">
        <v>327</v>
      </c>
      <c r="H49" s="28">
        <v>9.7222222222222224E-3</v>
      </c>
      <c r="I49" s="29" t="s">
        <v>27</v>
      </c>
      <c r="J49" s="41" t="s">
        <v>181</v>
      </c>
    </row>
    <row r="50" spans="1:10" ht="19" customHeight="1" x14ac:dyDescent="0.2">
      <c r="A50" s="4">
        <v>49</v>
      </c>
      <c r="B50" s="4">
        <v>1</v>
      </c>
      <c r="C50" s="4">
        <v>1</v>
      </c>
      <c r="D50" s="4">
        <v>1</v>
      </c>
      <c r="E50" s="27" t="s">
        <v>190</v>
      </c>
      <c r="F50" s="50" t="s">
        <v>31</v>
      </c>
      <c r="G50" s="27" t="s">
        <v>328</v>
      </c>
      <c r="H50" s="28">
        <v>1.2175925925925929E-2</v>
      </c>
      <c r="I50" s="29" t="s">
        <v>27</v>
      </c>
      <c r="J50" s="41" t="s">
        <v>181</v>
      </c>
    </row>
    <row r="51" spans="1:10" ht="19" customHeight="1" x14ac:dyDescent="0.2">
      <c r="A51" s="4">
        <v>50</v>
      </c>
      <c r="B51" s="4">
        <v>1</v>
      </c>
      <c r="C51" s="4">
        <v>1</v>
      </c>
      <c r="D51" s="4">
        <v>1</v>
      </c>
      <c r="E51" s="27" t="s">
        <v>190</v>
      </c>
      <c r="F51" s="50" t="s">
        <v>31</v>
      </c>
      <c r="G51" s="27" t="s">
        <v>329</v>
      </c>
      <c r="H51" s="28">
        <v>1.6319444444444445E-2</v>
      </c>
      <c r="I51" s="29" t="s">
        <v>27</v>
      </c>
      <c r="J51" s="41" t="s">
        <v>181</v>
      </c>
    </row>
    <row r="52" spans="1:10" ht="19" customHeight="1" x14ac:dyDescent="0.2">
      <c r="A52" s="4">
        <v>51</v>
      </c>
      <c r="B52" s="4">
        <v>1</v>
      </c>
      <c r="C52" s="4">
        <v>1</v>
      </c>
      <c r="D52" s="4">
        <v>1</v>
      </c>
      <c r="E52" s="27" t="s">
        <v>190</v>
      </c>
      <c r="F52" s="50" t="s">
        <v>31</v>
      </c>
      <c r="G52" s="27" t="s">
        <v>330</v>
      </c>
      <c r="H52" s="28">
        <v>1.4687499999999999E-2</v>
      </c>
      <c r="I52" s="29" t="s">
        <v>27</v>
      </c>
      <c r="J52" s="41" t="s">
        <v>181</v>
      </c>
    </row>
    <row r="53" spans="1:10" ht="19" customHeight="1" x14ac:dyDescent="0.2">
      <c r="A53" s="4">
        <v>52</v>
      </c>
      <c r="B53" s="4">
        <v>1</v>
      </c>
      <c r="C53" s="4">
        <v>1</v>
      </c>
      <c r="D53" s="4">
        <v>1</v>
      </c>
      <c r="E53" s="27" t="s">
        <v>190</v>
      </c>
      <c r="F53" s="50" t="s">
        <v>31</v>
      </c>
      <c r="G53" s="27" t="s">
        <v>331</v>
      </c>
      <c r="H53" s="28">
        <v>8.9236111111111113E-3</v>
      </c>
      <c r="I53" s="29" t="s">
        <v>27</v>
      </c>
      <c r="J53" s="41" t="s">
        <v>181</v>
      </c>
    </row>
    <row r="54" spans="1:10" ht="19" customHeight="1" x14ac:dyDescent="0.2">
      <c r="A54" s="4">
        <v>53</v>
      </c>
      <c r="B54" s="4">
        <v>1</v>
      </c>
      <c r="C54" s="4">
        <v>1</v>
      </c>
      <c r="D54" s="4">
        <v>1</v>
      </c>
      <c r="E54" s="27" t="s">
        <v>190</v>
      </c>
      <c r="F54" s="50" t="s">
        <v>30</v>
      </c>
      <c r="G54" s="27" t="s">
        <v>2</v>
      </c>
      <c r="H54" s="28">
        <v>2.0833333333333332E-2</v>
      </c>
      <c r="I54" s="29" t="s">
        <v>27</v>
      </c>
      <c r="J54" s="41" t="s">
        <v>181</v>
      </c>
    </row>
    <row r="55" spans="1:10" ht="19" customHeight="1" x14ac:dyDescent="0.2">
      <c r="A55" s="4">
        <v>54</v>
      </c>
      <c r="B55" s="4">
        <v>1</v>
      </c>
      <c r="C55" s="4">
        <v>1</v>
      </c>
      <c r="D55" s="4">
        <v>1</v>
      </c>
      <c r="E55" s="27" t="s">
        <v>190</v>
      </c>
      <c r="F55" s="50" t="s">
        <v>30</v>
      </c>
      <c r="G55" s="27" t="s">
        <v>3</v>
      </c>
      <c r="H55" s="28">
        <v>2.0833333333333332E-2</v>
      </c>
      <c r="I55" s="29" t="s">
        <v>27</v>
      </c>
      <c r="J55" s="41" t="s">
        <v>181</v>
      </c>
    </row>
    <row r="56" spans="1:10" ht="19" customHeight="1" x14ac:dyDescent="0.2">
      <c r="A56" s="4">
        <v>55</v>
      </c>
      <c r="B56" s="4">
        <v>1</v>
      </c>
      <c r="C56" s="4">
        <v>1</v>
      </c>
      <c r="D56" s="4">
        <v>1</v>
      </c>
      <c r="E56" s="27" t="s">
        <v>191</v>
      </c>
      <c r="F56" s="50" t="s">
        <v>31</v>
      </c>
      <c r="G56" s="27" t="s">
        <v>54</v>
      </c>
      <c r="H56" s="28">
        <v>5.0115740740740737E-3</v>
      </c>
      <c r="I56" s="29" t="s">
        <v>27</v>
      </c>
      <c r="J56" s="41" t="s">
        <v>181</v>
      </c>
    </row>
    <row r="57" spans="1:10" ht="19" customHeight="1" x14ac:dyDescent="0.2">
      <c r="A57" s="4">
        <v>56</v>
      </c>
      <c r="B57" s="4">
        <v>1</v>
      </c>
      <c r="C57" s="4">
        <v>1</v>
      </c>
      <c r="D57" s="4">
        <v>1</v>
      </c>
      <c r="E57" s="27" t="s">
        <v>191</v>
      </c>
      <c r="F57" s="50" t="s">
        <v>31</v>
      </c>
      <c r="G57" s="27" t="s">
        <v>55</v>
      </c>
      <c r="H57" s="28">
        <v>6.875E-3</v>
      </c>
      <c r="I57" s="29" t="s">
        <v>27</v>
      </c>
      <c r="J57" s="41" t="s">
        <v>181</v>
      </c>
    </row>
    <row r="58" spans="1:10" ht="19" customHeight="1" x14ac:dyDescent="0.2">
      <c r="A58" s="4">
        <v>57</v>
      </c>
      <c r="B58" s="4">
        <v>1</v>
      </c>
      <c r="C58" s="4">
        <v>1</v>
      </c>
      <c r="D58" s="4">
        <v>1</v>
      </c>
      <c r="E58" s="27" t="s">
        <v>191</v>
      </c>
      <c r="F58" s="50" t="s">
        <v>31</v>
      </c>
      <c r="G58" s="27" t="s">
        <v>56</v>
      </c>
      <c r="H58" s="28">
        <v>6.3773148148148148E-3</v>
      </c>
      <c r="I58" s="29" t="s">
        <v>27</v>
      </c>
      <c r="J58" s="41" t="s">
        <v>181</v>
      </c>
    </row>
    <row r="59" spans="1:10" ht="19" customHeight="1" x14ac:dyDescent="0.2">
      <c r="A59" s="4">
        <v>58</v>
      </c>
      <c r="B59" s="4">
        <v>1</v>
      </c>
      <c r="C59" s="4">
        <v>1</v>
      </c>
      <c r="D59" s="4">
        <v>1</v>
      </c>
      <c r="E59" s="27" t="s">
        <v>191</v>
      </c>
      <c r="F59" s="50" t="s">
        <v>31</v>
      </c>
      <c r="G59" s="27" t="s">
        <v>57</v>
      </c>
      <c r="H59" s="28">
        <v>7.858796296296296E-3</v>
      </c>
      <c r="I59" s="29" t="s">
        <v>27</v>
      </c>
      <c r="J59" s="41" t="s">
        <v>181</v>
      </c>
    </row>
    <row r="60" spans="1:10" ht="19" customHeight="1" x14ac:dyDescent="0.2">
      <c r="A60" s="4">
        <v>59</v>
      </c>
      <c r="B60" s="4">
        <v>1</v>
      </c>
      <c r="C60" s="4">
        <v>1</v>
      </c>
      <c r="D60" s="4">
        <v>1</v>
      </c>
      <c r="E60" s="27" t="s">
        <v>191</v>
      </c>
      <c r="F60" s="50" t="s">
        <v>31</v>
      </c>
      <c r="G60" s="27" t="s">
        <v>58</v>
      </c>
      <c r="H60" s="28">
        <v>1.0590277777777777E-2</v>
      </c>
      <c r="I60" s="29" t="s">
        <v>27</v>
      </c>
      <c r="J60" s="41" t="s">
        <v>181</v>
      </c>
    </row>
    <row r="61" spans="1:10" ht="19" customHeight="1" x14ac:dyDescent="0.2">
      <c r="A61" s="4">
        <v>60</v>
      </c>
      <c r="B61" s="4">
        <v>1</v>
      </c>
      <c r="C61" s="4">
        <v>1</v>
      </c>
      <c r="D61" s="4">
        <v>1</v>
      </c>
      <c r="E61" s="27" t="s">
        <v>191</v>
      </c>
      <c r="F61" s="50" t="s">
        <v>31</v>
      </c>
      <c r="G61" s="27" t="s">
        <v>59</v>
      </c>
      <c r="H61" s="28">
        <v>7.719907407407408E-3</v>
      </c>
      <c r="I61" s="29" t="s">
        <v>27</v>
      </c>
      <c r="J61" s="41" t="s">
        <v>181</v>
      </c>
    </row>
    <row r="62" spans="1:10" ht="19" customHeight="1" x14ac:dyDescent="0.2">
      <c r="A62" s="4">
        <v>61</v>
      </c>
      <c r="B62" s="4">
        <v>1</v>
      </c>
      <c r="C62" s="4">
        <v>1</v>
      </c>
      <c r="D62" s="4">
        <v>1</v>
      </c>
      <c r="E62" s="27" t="s">
        <v>191</v>
      </c>
      <c r="F62" s="50" t="s">
        <v>30</v>
      </c>
      <c r="G62" s="27" t="s">
        <v>4</v>
      </c>
      <c r="H62" s="28">
        <v>2.0833333333333332E-2</v>
      </c>
      <c r="I62" s="29" t="s">
        <v>27</v>
      </c>
      <c r="J62" s="41" t="s">
        <v>181</v>
      </c>
    </row>
    <row r="63" spans="1:10" ht="19" customHeight="1" x14ac:dyDescent="0.2">
      <c r="A63" s="4">
        <v>62</v>
      </c>
      <c r="B63" s="4">
        <v>1</v>
      </c>
      <c r="C63" s="4">
        <v>1</v>
      </c>
      <c r="D63" s="4">
        <v>1</v>
      </c>
      <c r="E63" s="27" t="s">
        <v>191</v>
      </c>
      <c r="F63" s="50" t="s">
        <v>30</v>
      </c>
      <c r="G63" s="27" t="s">
        <v>5</v>
      </c>
      <c r="H63" s="28">
        <v>2.0833333333333332E-2</v>
      </c>
      <c r="I63" s="29" t="s">
        <v>27</v>
      </c>
      <c r="J63" s="41" t="s">
        <v>181</v>
      </c>
    </row>
    <row r="64" spans="1:10" ht="19" customHeight="1" x14ac:dyDescent="0.2">
      <c r="A64" s="4">
        <v>63</v>
      </c>
      <c r="B64" s="4">
        <v>1</v>
      </c>
      <c r="C64" s="4">
        <v>1</v>
      </c>
      <c r="D64" s="4">
        <v>1</v>
      </c>
      <c r="E64" s="27" t="s">
        <v>192</v>
      </c>
      <c r="F64" s="50" t="s">
        <v>31</v>
      </c>
      <c r="G64" s="27" t="s">
        <v>60</v>
      </c>
      <c r="H64" s="28">
        <v>2.9282407407407412E-3</v>
      </c>
      <c r="I64" s="29" t="s">
        <v>27</v>
      </c>
      <c r="J64" s="41" t="s">
        <v>181</v>
      </c>
    </row>
    <row r="65" spans="1:10" ht="19" customHeight="1" x14ac:dyDescent="0.2">
      <c r="A65" s="4">
        <v>64</v>
      </c>
      <c r="B65" s="4">
        <v>1</v>
      </c>
      <c r="C65" s="4">
        <v>1</v>
      </c>
      <c r="D65" s="4">
        <v>1</v>
      </c>
      <c r="E65" s="27" t="s">
        <v>192</v>
      </c>
      <c r="F65" s="50" t="s">
        <v>31</v>
      </c>
      <c r="G65" s="27" t="s">
        <v>61</v>
      </c>
      <c r="H65" s="28">
        <v>9.571759259259259E-3</v>
      </c>
      <c r="I65" s="29" t="s">
        <v>27</v>
      </c>
      <c r="J65" s="41" t="s">
        <v>181</v>
      </c>
    </row>
    <row r="66" spans="1:10" ht="19" customHeight="1" x14ac:dyDescent="0.2">
      <c r="A66" s="4">
        <v>65</v>
      </c>
      <c r="B66" s="4">
        <v>1</v>
      </c>
      <c r="C66" s="4">
        <v>1</v>
      </c>
      <c r="D66" s="4">
        <v>1</v>
      </c>
      <c r="E66" s="27" t="s">
        <v>192</v>
      </c>
      <c r="F66" s="50" t="s">
        <v>31</v>
      </c>
      <c r="G66" s="27" t="s">
        <v>62</v>
      </c>
      <c r="H66" s="28">
        <v>5.6597222222222222E-3</v>
      </c>
      <c r="I66" s="29" t="s">
        <v>27</v>
      </c>
      <c r="J66" s="41" t="s">
        <v>181</v>
      </c>
    </row>
    <row r="67" spans="1:10" ht="19" customHeight="1" x14ac:dyDescent="0.2">
      <c r="A67" s="4">
        <v>66</v>
      </c>
      <c r="B67" s="4">
        <v>1</v>
      </c>
      <c r="C67" s="4">
        <v>1</v>
      </c>
      <c r="D67" s="4">
        <v>1</v>
      </c>
      <c r="E67" s="27" t="s">
        <v>192</v>
      </c>
      <c r="F67" s="50" t="s">
        <v>31</v>
      </c>
      <c r="G67" s="27" t="s">
        <v>63</v>
      </c>
      <c r="H67" s="28">
        <v>9.5601851851851855E-3</v>
      </c>
      <c r="I67" s="29" t="s">
        <v>27</v>
      </c>
      <c r="J67" s="41" t="s">
        <v>181</v>
      </c>
    </row>
    <row r="68" spans="1:10" ht="19" customHeight="1" x14ac:dyDescent="0.2">
      <c r="A68" s="4">
        <v>67</v>
      </c>
      <c r="B68" s="4">
        <v>1</v>
      </c>
      <c r="C68" s="4">
        <v>1</v>
      </c>
      <c r="D68" s="4">
        <v>1</v>
      </c>
      <c r="E68" s="27" t="s">
        <v>192</v>
      </c>
      <c r="F68" s="50" t="s">
        <v>31</v>
      </c>
      <c r="G68" s="27" t="s">
        <v>64</v>
      </c>
      <c r="H68" s="28">
        <v>7.8009259259259256E-3</v>
      </c>
      <c r="I68" s="29" t="s">
        <v>27</v>
      </c>
      <c r="J68" s="41" t="s">
        <v>181</v>
      </c>
    </row>
    <row r="69" spans="1:10" ht="19" customHeight="1" x14ac:dyDescent="0.2">
      <c r="A69" s="4">
        <v>68</v>
      </c>
      <c r="B69" s="4">
        <v>1</v>
      </c>
      <c r="C69" s="4">
        <v>1</v>
      </c>
      <c r="D69" s="4">
        <v>1</v>
      </c>
      <c r="E69" s="27" t="s">
        <v>192</v>
      </c>
      <c r="F69" s="50" t="s">
        <v>31</v>
      </c>
      <c r="G69" s="27" t="s">
        <v>65</v>
      </c>
      <c r="H69" s="28">
        <v>3.5185185185185185E-3</v>
      </c>
      <c r="I69" s="29" t="s">
        <v>27</v>
      </c>
      <c r="J69" s="41" t="s">
        <v>181</v>
      </c>
    </row>
    <row r="70" spans="1:10" ht="19" customHeight="1" x14ac:dyDescent="0.2">
      <c r="A70" s="4">
        <v>69</v>
      </c>
      <c r="B70" s="4">
        <v>1</v>
      </c>
      <c r="C70" s="4">
        <v>1</v>
      </c>
      <c r="D70" s="4">
        <v>1</v>
      </c>
      <c r="E70" s="27" t="s">
        <v>192</v>
      </c>
      <c r="F70" s="50" t="s">
        <v>31</v>
      </c>
      <c r="G70" s="27" t="s">
        <v>66</v>
      </c>
      <c r="H70" s="28">
        <v>8.773148148148148E-3</v>
      </c>
      <c r="I70" s="29" t="s">
        <v>27</v>
      </c>
      <c r="J70" s="41" t="s">
        <v>181</v>
      </c>
    </row>
    <row r="71" spans="1:10" ht="19" customHeight="1" x14ac:dyDescent="0.2">
      <c r="A71" s="4">
        <v>70</v>
      </c>
      <c r="B71" s="4">
        <v>1</v>
      </c>
      <c r="C71" s="4">
        <v>1</v>
      </c>
      <c r="D71" s="4">
        <v>1</v>
      </c>
      <c r="E71" s="27" t="s">
        <v>192</v>
      </c>
      <c r="F71" s="50" t="s">
        <v>31</v>
      </c>
      <c r="G71" s="27" t="s">
        <v>67</v>
      </c>
      <c r="H71" s="28">
        <v>3.5879629629629629E-3</v>
      </c>
      <c r="I71" s="29" t="s">
        <v>27</v>
      </c>
      <c r="J71" s="41" t="s">
        <v>181</v>
      </c>
    </row>
    <row r="72" spans="1:10" ht="19" customHeight="1" x14ac:dyDescent="0.2">
      <c r="A72" s="4">
        <v>71</v>
      </c>
      <c r="B72" s="4">
        <v>1</v>
      </c>
      <c r="C72" s="4">
        <v>1</v>
      </c>
      <c r="D72" s="4">
        <v>1</v>
      </c>
      <c r="E72" s="27" t="s">
        <v>192</v>
      </c>
      <c r="F72" s="50" t="s">
        <v>30</v>
      </c>
      <c r="G72" s="27" t="s">
        <v>6</v>
      </c>
      <c r="H72" s="28">
        <v>2.0833333333333332E-2</v>
      </c>
      <c r="I72" s="29" t="s">
        <v>27</v>
      </c>
      <c r="J72" s="41" t="s">
        <v>181</v>
      </c>
    </row>
    <row r="73" spans="1:10" ht="19" customHeight="1" x14ac:dyDescent="0.2">
      <c r="A73" s="4">
        <v>72</v>
      </c>
      <c r="B73" s="4">
        <v>1</v>
      </c>
      <c r="C73" s="4">
        <v>1</v>
      </c>
      <c r="D73" s="4">
        <v>1</v>
      </c>
      <c r="E73" s="27" t="s">
        <v>192</v>
      </c>
      <c r="F73" s="50" t="s">
        <v>30</v>
      </c>
      <c r="G73" s="27" t="s">
        <v>7</v>
      </c>
      <c r="H73" s="28">
        <v>2.0833333333333332E-2</v>
      </c>
      <c r="I73" s="29" t="s">
        <v>27</v>
      </c>
      <c r="J73" s="41" t="s">
        <v>181</v>
      </c>
    </row>
    <row r="74" spans="1:10" ht="19" customHeight="1" x14ac:dyDescent="0.2">
      <c r="A74" s="4">
        <v>73</v>
      </c>
      <c r="B74" s="4">
        <v>1</v>
      </c>
      <c r="C74" s="4">
        <v>1</v>
      </c>
      <c r="D74" s="4">
        <v>1</v>
      </c>
      <c r="E74" s="27" t="s">
        <v>192</v>
      </c>
      <c r="F74" s="50" t="s">
        <v>30</v>
      </c>
      <c r="G74" s="27" t="s">
        <v>8</v>
      </c>
      <c r="H74" s="28">
        <v>2.0833333333333332E-2</v>
      </c>
      <c r="I74" s="29" t="s">
        <v>27</v>
      </c>
      <c r="J74" s="41" t="s">
        <v>181</v>
      </c>
    </row>
    <row r="75" spans="1:10" ht="19" customHeight="1" x14ac:dyDescent="0.2">
      <c r="A75" s="4">
        <v>74</v>
      </c>
      <c r="B75" s="4">
        <v>1</v>
      </c>
      <c r="C75" s="4">
        <v>1</v>
      </c>
      <c r="D75" s="4">
        <v>1</v>
      </c>
      <c r="E75" s="27" t="s">
        <v>193</v>
      </c>
      <c r="F75" s="50" t="s">
        <v>31</v>
      </c>
      <c r="G75" s="27" t="s">
        <v>68</v>
      </c>
      <c r="H75" s="28">
        <v>1.7384259259259262E-2</v>
      </c>
      <c r="I75" s="29" t="s">
        <v>27</v>
      </c>
      <c r="J75" s="41" t="s">
        <v>181</v>
      </c>
    </row>
    <row r="76" spans="1:10" ht="19" customHeight="1" x14ac:dyDescent="0.2">
      <c r="A76" s="4">
        <v>75</v>
      </c>
      <c r="B76" s="4">
        <v>1</v>
      </c>
      <c r="C76" s="4">
        <v>1</v>
      </c>
      <c r="D76" s="4">
        <v>1</v>
      </c>
      <c r="E76" s="27" t="s">
        <v>193</v>
      </c>
      <c r="F76" s="50" t="s">
        <v>31</v>
      </c>
      <c r="G76" s="27" t="s">
        <v>69</v>
      </c>
      <c r="H76" s="28">
        <v>1.5636574074074074E-2</v>
      </c>
      <c r="I76" s="29" t="s">
        <v>27</v>
      </c>
      <c r="J76" s="41" t="s">
        <v>181</v>
      </c>
    </row>
    <row r="77" spans="1:10" ht="19" customHeight="1" x14ac:dyDescent="0.2">
      <c r="A77" s="4">
        <v>76</v>
      </c>
      <c r="B77" s="4">
        <v>1</v>
      </c>
      <c r="C77" s="4">
        <v>1</v>
      </c>
      <c r="D77" s="4">
        <v>1</v>
      </c>
      <c r="E77" s="27" t="s">
        <v>193</v>
      </c>
      <c r="F77" s="50" t="s">
        <v>31</v>
      </c>
      <c r="G77" s="27" t="s">
        <v>70</v>
      </c>
      <c r="H77" s="28">
        <v>1.3969907407407408E-2</v>
      </c>
      <c r="I77" s="29" t="s">
        <v>27</v>
      </c>
      <c r="J77" s="41" t="s">
        <v>181</v>
      </c>
    </row>
    <row r="78" spans="1:10" ht="19" customHeight="1" x14ac:dyDescent="0.2">
      <c r="A78" s="4">
        <v>77</v>
      </c>
      <c r="B78" s="4">
        <v>1</v>
      </c>
      <c r="C78" s="4">
        <v>1</v>
      </c>
      <c r="D78" s="4">
        <v>1</v>
      </c>
      <c r="E78" s="27" t="s">
        <v>193</v>
      </c>
      <c r="F78" s="50" t="s">
        <v>31</v>
      </c>
      <c r="G78" s="27" t="s">
        <v>71</v>
      </c>
      <c r="H78" s="28">
        <v>1.9930555555555556E-2</v>
      </c>
      <c r="I78" s="29" t="s">
        <v>27</v>
      </c>
      <c r="J78" s="41" t="s">
        <v>181</v>
      </c>
    </row>
    <row r="79" spans="1:10" ht="19" customHeight="1" x14ac:dyDescent="0.2">
      <c r="A79" s="4">
        <v>78</v>
      </c>
      <c r="B79" s="4">
        <v>1</v>
      </c>
      <c r="C79" s="4">
        <v>1</v>
      </c>
      <c r="D79" s="4">
        <v>1</v>
      </c>
      <c r="E79" s="27" t="s">
        <v>193</v>
      </c>
      <c r="F79" s="50" t="s">
        <v>31</v>
      </c>
      <c r="G79" s="27" t="s">
        <v>72</v>
      </c>
      <c r="H79" s="28">
        <v>1.5162037037037036E-2</v>
      </c>
      <c r="I79" s="29" t="s">
        <v>27</v>
      </c>
      <c r="J79" s="41" t="s">
        <v>181</v>
      </c>
    </row>
    <row r="80" spans="1:10" ht="19" customHeight="1" x14ac:dyDescent="0.2">
      <c r="A80" s="4">
        <v>79</v>
      </c>
      <c r="B80" s="4">
        <v>1</v>
      </c>
      <c r="C80" s="4">
        <v>1</v>
      </c>
      <c r="D80" s="4">
        <v>1</v>
      </c>
      <c r="E80" s="27" t="s">
        <v>193</v>
      </c>
      <c r="F80" s="50" t="s">
        <v>31</v>
      </c>
      <c r="G80" s="27" t="s">
        <v>73</v>
      </c>
      <c r="H80" s="28">
        <v>1.0798611111111111E-2</v>
      </c>
      <c r="I80" s="29" t="s">
        <v>27</v>
      </c>
      <c r="J80" s="41" t="s">
        <v>181</v>
      </c>
    </row>
    <row r="81" spans="1:10" ht="19" customHeight="1" x14ac:dyDescent="0.2">
      <c r="A81" s="4">
        <v>80</v>
      </c>
      <c r="B81" s="4">
        <v>1</v>
      </c>
      <c r="C81" s="4">
        <v>1</v>
      </c>
      <c r="D81" s="4">
        <v>1</v>
      </c>
      <c r="E81" s="27" t="s">
        <v>193</v>
      </c>
      <c r="F81" s="50" t="s">
        <v>31</v>
      </c>
      <c r="G81" s="27" t="s">
        <v>74</v>
      </c>
      <c r="H81" s="28">
        <v>1.53125E-2</v>
      </c>
      <c r="I81" s="29" t="s">
        <v>27</v>
      </c>
      <c r="J81" s="41" t="s">
        <v>181</v>
      </c>
    </row>
    <row r="82" spans="1:10" ht="19" customHeight="1" x14ac:dyDescent="0.2">
      <c r="A82" s="4">
        <v>81</v>
      </c>
      <c r="B82" s="4">
        <v>1</v>
      </c>
      <c r="C82" s="4">
        <v>1</v>
      </c>
      <c r="D82" s="4">
        <v>1</v>
      </c>
      <c r="E82" s="27" t="s">
        <v>193</v>
      </c>
      <c r="F82" s="50" t="s">
        <v>30</v>
      </c>
      <c r="G82" s="27" t="s">
        <v>9</v>
      </c>
      <c r="H82" s="28">
        <v>2.0833333333333332E-2</v>
      </c>
      <c r="I82" s="29" t="s">
        <v>27</v>
      </c>
      <c r="J82" s="41" t="s">
        <v>181</v>
      </c>
    </row>
    <row r="83" spans="1:10" ht="19" customHeight="1" x14ac:dyDescent="0.2">
      <c r="A83" s="4">
        <v>82</v>
      </c>
      <c r="B83" s="4">
        <v>1</v>
      </c>
      <c r="C83" s="4">
        <v>1</v>
      </c>
      <c r="D83" s="4">
        <v>1</v>
      </c>
      <c r="E83" s="27" t="s">
        <v>193</v>
      </c>
      <c r="F83" s="50" t="s">
        <v>30</v>
      </c>
      <c r="G83" s="27" t="s">
        <v>10</v>
      </c>
      <c r="H83" s="28">
        <v>2.0833333333333332E-2</v>
      </c>
      <c r="I83" s="29" t="s">
        <v>27</v>
      </c>
      <c r="J83" s="41" t="s">
        <v>181</v>
      </c>
    </row>
    <row r="84" spans="1:10" ht="19" customHeight="1" x14ac:dyDescent="0.2">
      <c r="A84" s="4">
        <v>83</v>
      </c>
      <c r="B84" s="4">
        <v>1</v>
      </c>
      <c r="C84" s="4">
        <v>1</v>
      </c>
      <c r="D84" s="4">
        <v>1</v>
      </c>
      <c r="E84" s="27" t="s">
        <v>193</v>
      </c>
      <c r="F84" s="50" t="s">
        <v>30</v>
      </c>
      <c r="G84" s="27" t="s">
        <v>11</v>
      </c>
      <c r="H84" s="28">
        <v>2.0833333333333332E-2</v>
      </c>
      <c r="I84" s="29" t="s">
        <v>27</v>
      </c>
      <c r="J84" s="41" t="s">
        <v>181</v>
      </c>
    </row>
    <row r="85" spans="1:10" ht="19" customHeight="1" x14ac:dyDescent="0.2">
      <c r="A85" s="4">
        <v>84</v>
      </c>
      <c r="B85" s="4">
        <v>1</v>
      </c>
      <c r="C85" s="4">
        <v>1</v>
      </c>
      <c r="D85" s="4">
        <v>1</v>
      </c>
      <c r="E85" s="27" t="s">
        <v>193</v>
      </c>
      <c r="F85" s="50" t="s">
        <v>30</v>
      </c>
      <c r="G85" s="27" t="s">
        <v>12</v>
      </c>
      <c r="H85" s="28">
        <v>2.0833333333333332E-2</v>
      </c>
      <c r="I85" s="29" t="s">
        <v>27</v>
      </c>
      <c r="J85" s="41" t="s">
        <v>181</v>
      </c>
    </row>
    <row r="86" spans="1:10" ht="19" customHeight="1" x14ac:dyDescent="0.2">
      <c r="A86" s="4">
        <v>85</v>
      </c>
      <c r="B86" s="4">
        <v>1</v>
      </c>
      <c r="C86" s="4">
        <v>1</v>
      </c>
      <c r="D86" s="4">
        <v>1</v>
      </c>
      <c r="E86" s="27" t="s">
        <v>193</v>
      </c>
      <c r="F86" s="50" t="s">
        <v>30</v>
      </c>
      <c r="G86" s="27" t="s">
        <v>13</v>
      </c>
      <c r="H86" s="28">
        <v>2.0833333333333332E-2</v>
      </c>
      <c r="I86" s="29" t="s">
        <v>27</v>
      </c>
      <c r="J86" s="41" t="s">
        <v>181</v>
      </c>
    </row>
    <row r="87" spans="1:10" ht="19" customHeight="1" x14ac:dyDescent="0.2">
      <c r="A87" s="4">
        <v>86</v>
      </c>
      <c r="B87" s="4">
        <v>1</v>
      </c>
      <c r="C87" s="4">
        <v>1</v>
      </c>
      <c r="D87" s="4">
        <v>1</v>
      </c>
      <c r="E87" s="27" t="s">
        <v>193</v>
      </c>
      <c r="F87" s="50" t="s">
        <v>30</v>
      </c>
      <c r="G87" s="27" t="s">
        <v>14</v>
      </c>
      <c r="H87" s="28">
        <v>2.0833333333333332E-2</v>
      </c>
      <c r="I87" s="29" t="s">
        <v>27</v>
      </c>
      <c r="J87" s="41" t="s">
        <v>181</v>
      </c>
    </row>
    <row r="88" spans="1:10" ht="19" customHeight="1" x14ac:dyDescent="0.2">
      <c r="A88" s="4">
        <v>87</v>
      </c>
      <c r="B88" s="4"/>
      <c r="C88" s="4">
        <v>1</v>
      </c>
      <c r="D88" s="4">
        <v>1</v>
      </c>
      <c r="E88" s="27" t="s">
        <v>194</v>
      </c>
      <c r="F88" s="50" t="s">
        <v>31</v>
      </c>
      <c r="G88" s="27" t="s">
        <v>332</v>
      </c>
      <c r="H88" s="28">
        <v>4.6759259259259263E-3</v>
      </c>
      <c r="I88" s="29" t="s">
        <v>27</v>
      </c>
      <c r="J88" s="41" t="s">
        <v>181</v>
      </c>
    </row>
    <row r="89" spans="1:10" ht="19" customHeight="1" x14ac:dyDescent="0.2">
      <c r="A89" s="4">
        <v>88</v>
      </c>
      <c r="B89" s="4"/>
      <c r="C89" s="4">
        <v>1</v>
      </c>
      <c r="D89" s="4">
        <v>1</v>
      </c>
      <c r="E89" s="27" t="s">
        <v>194</v>
      </c>
      <c r="F89" s="50" t="s">
        <v>31</v>
      </c>
      <c r="G89" s="27" t="s">
        <v>333</v>
      </c>
      <c r="H89" s="28">
        <v>1.4155092592592592E-2</v>
      </c>
      <c r="I89" s="29" t="s">
        <v>27</v>
      </c>
      <c r="J89" s="41" t="s">
        <v>181</v>
      </c>
    </row>
    <row r="90" spans="1:10" ht="19" customHeight="1" x14ac:dyDescent="0.2">
      <c r="A90" s="4">
        <v>89</v>
      </c>
      <c r="B90" s="4"/>
      <c r="C90" s="4">
        <v>1</v>
      </c>
      <c r="D90" s="4">
        <v>1</v>
      </c>
      <c r="E90" s="27" t="s">
        <v>194</v>
      </c>
      <c r="F90" s="50" t="s">
        <v>31</v>
      </c>
      <c r="G90" s="27" t="s">
        <v>334</v>
      </c>
      <c r="H90" s="28">
        <v>1.0289351851851852E-2</v>
      </c>
      <c r="I90" s="29" t="s">
        <v>27</v>
      </c>
      <c r="J90" s="41" t="s">
        <v>181</v>
      </c>
    </row>
    <row r="91" spans="1:10" ht="19" customHeight="1" x14ac:dyDescent="0.2">
      <c r="A91" s="4">
        <v>90</v>
      </c>
      <c r="B91" s="4"/>
      <c r="C91" s="4">
        <v>1</v>
      </c>
      <c r="D91" s="4">
        <v>1</v>
      </c>
      <c r="E91" s="27" t="s">
        <v>194</v>
      </c>
      <c r="F91" s="50" t="s">
        <v>31</v>
      </c>
      <c r="G91" s="27" t="s">
        <v>335</v>
      </c>
      <c r="H91" s="28">
        <v>6.828703703703704E-3</v>
      </c>
      <c r="I91" s="29" t="s">
        <v>27</v>
      </c>
      <c r="J91" s="41" t="s">
        <v>181</v>
      </c>
    </row>
    <row r="92" spans="1:10" ht="19" customHeight="1" x14ac:dyDescent="0.2">
      <c r="A92" s="4">
        <v>91</v>
      </c>
      <c r="B92" s="4"/>
      <c r="C92" s="4">
        <v>1</v>
      </c>
      <c r="D92" s="4">
        <v>1</v>
      </c>
      <c r="E92" s="27" t="s">
        <v>194</v>
      </c>
      <c r="F92" s="50" t="s">
        <v>31</v>
      </c>
      <c r="G92" s="27" t="s">
        <v>336</v>
      </c>
      <c r="H92" s="28">
        <v>1.2939814814814814E-2</v>
      </c>
      <c r="I92" s="29" t="s">
        <v>27</v>
      </c>
      <c r="J92" s="41" t="s">
        <v>181</v>
      </c>
    </row>
    <row r="93" spans="1:10" ht="19" customHeight="1" x14ac:dyDescent="0.2">
      <c r="A93" s="4">
        <v>92</v>
      </c>
      <c r="B93" s="4"/>
      <c r="C93" s="4">
        <v>1</v>
      </c>
      <c r="D93" s="4">
        <v>1</v>
      </c>
      <c r="E93" s="27" t="s">
        <v>194</v>
      </c>
      <c r="F93" s="50" t="s">
        <v>31</v>
      </c>
      <c r="G93" s="27" t="s">
        <v>337</v>
      </c>
      <c r="H93" s="28">
        <v>2.8124999999999995E-3</v>
      </c>
      <c r="I93" s="29" t="s">
        <v>27</v>
      </c>
      <c r="J93" s="41" t="s">
        <v>181</v>
      </c>
    </row>
    <row r="94" spans="1:10" ht="19" customHeight="1" x14ac:dyDescent="0.2">
      <c r="A94" s="4">
        <v>93</v>
      </c>
      <c r="B94" s="4"/>
      <c r="C94" s="4">
        <v>1</v>
      </c>
      <c r="D94" s="4">
        <v>1</v>
      </c>
      <c r="E94" s="27" t="s">
        <v>194</v>
      </c>
      <c r="F94" s="50" t="s">
        <v>31</v>
      </c>
      <c r="G94" s="27" t="s">
        <v>338</v>
      </c>
      <c r="H94" s="28">
        <v>1.2314814814814815E-2</v>
      </c>
      <c r="I94" s="29" t="s">
        <v>27</v>
      </c>
      <c r="J94" s="41" t="s">
        <v>181</v>
      </c>
    </row>
    <row r="95" spans="1:10" ht="19" customHeight="1" x14ac:dyDescent="0.2">
      <c r="A95" s="4">
        <v>94</v>
      </c>
      <c r="B95" s="4"/>
      <c r="C95" s="4">
        <v>1</v>
      </c>
      <c r="D95" s="4">
        <v>1</v>
      </c>
      <c r="E95" s="27" t="s">
        <v>194</v>
      </c>
      <c r="F95" s="50" t="s">
        <v>30</v>
      </c>
      <c r="G95" s="27" t="s">
        <v>15</v>
      </c>
      <c r="H95" s="28">
        <v>2.0833333333333332E-2</v>
      </c>
      <c r="I95" s="29" t="s">
        <v>27</v>
      </c>
      <c r="J95" s="41" t="s">
        <v>181</v>
      </c>
    </row>
    <row r="96" spans="1:10" ht="19" customHeight="1" x14ac:dyDescent="0.2">
      <c r="A96" s="4">
        <v>95</v>
      </c>
      <c r="B96" s="4"/>
      <c r="C96" s="4">
        <v>1</v>
      </c>
      <c r="D96" s="4">
        <v>1</v>
      </c>
      <c r="E96" s="27" t="s">
        <v>194</v>
      </c>
      <c r="F96" s="50" t="s">
        <v>30</v>
      </c>
      <c r="G96" s="27" t="s">
        <v>16</v>
      </c>
      <c r="H96" s="28">
        <v>2.0833333333333332E-2</v>
      </c>
      <c r="I96" s="29" t="s">
        <v>27</v>
      </c>
      <c r="J96" s="41" t="s">
        <v>181</v>
      </c>
    </row>
    <row r="97" spans="1:10" ht="19" customHeight="1" x14ac:dyDescent="0.2">
      <c r="A97" s="4">
        <v>96</v>
      </c>
      <c r="B97" s="4"/>
      <c r="C97" s="4">
        <v>1</v>
      </c>
      <c r="D97" s="4">
        <v>1</v>
      </c>
      <c r="E97" s="27" t="s">
        <v>194</v>
      </c>
      <c r="F97" s="50" t="s">
        <v>30</v>
      </c>
      <c r="G97" s="27" t="s">
        <v>17</v>
      </c>
      <c r="H97" s="28">
        <v>2.0833333333333332E-2</v>
      </c>
      <c r="I97" s="29" t="s">
        <v>27</v>
      </c>
      <c r="J97" s="41" t="s">
        <v>181</v>
      </c>
    </row>
    <row r="98" spans="1:10" ht="19" customHeight="1" x14ac:dyDescent="0.2">
      <c r="A98" s="4">
        <v>97</v>
      </c>
      <c r="B98" s="4"/>
      <c r="C98" s="4">
        <v>1</v>
      </c>
      <c r="D98" s="4">
        <v>1</v>
      </c>
      <c r="E98" s="27" t="s">
        <v>195</v>
      </c>
      <c r="F98" s="50" t="s">
        <v>31</v>
      </c>
      <c r="G98" s="27" t="s">
        <v>182</v>
      </c>
      <c r="H98" s="28">
        <v>2.0833333333333332E-2</v>
      </c>
      <c r="I98" s="29" t="s">
        <v>27</v>
      </c>
      <c r="J98" s="41" t="s">
        <v>181</v>
      </c>
    </row>
    <row r="99" spans="1:10" ht="19" customHeight="1" x14ac:dyDescent="0.2">
      <c r="A99" s="4">
        <v>98</v>
      </c>
      <c r="B99" s="4"/>
      <c r="C99" s="4">
        <v>1</v>
      </c>
      <c r="D99" s="4">
        <v>1</v>
      </c>
      <c r="E99" s="27" t="s">
        <v>195</v>
      </c>
      <c r="F99" s="50" t="s">
        <v>31</v>
      </c>
      <c r="G99" s="27" t="s">
        <v>183</v>
      </c>
      <c r="H99" s="28">
        <v>1.9953703703703706E-2</v>
      </c>
      <c r="I99" s="29" t="s">
        <v>27</v>
      </c>
      <c r="J99" s="41" t="s">
        <v>181</v>
      </c>
    </row>
    <row r="100" spans="1:10" ht="19" customHeight="1" x14ac:dyDescent="0.2">
      <c r="A100" s="4">
        <v>99</v>
      </c>
      <c r="B100" s="4"/>
      <c r="C100" s="4"/>
      <c r="D100" s="4">
        <v>1</v>
      </c>
      <c r="E100" s="27" t="s">
        <v>196</v>
      </c>
      <c r="F100" s="50" t="s">
        <v>31</v>
      </c>
      <c r="G100" s="27" t="s">
        <v>75</v>
      </c>
      <c r="H100" s="28">
        <v>1.5810185185185184E-2</v>
      </c>
      <c r="I100" s="29" t="s">
        <v>27</v>
      </c>
      <c r="J100" s="41" t="s">
        <v>181</v>
      </c>
    </row>
    <row r="101" spans="1:10" ht="19" customHeight="1" x14ac:dyDescent="0.2">
      <c r="A101" s="4">
        <v>100</v>
      </c>
      <c r="B101" s="4"/>
      <c r="C101" s="4"/>
      <c r="D101" s="4">
        <v>1</v>
      </c>
      <c r="E101" s="27" t="s">
        <v>196</v>
      </c>
      <c r="F101" s="50" t="s">
        <v>31</v>
      </c>
      <c r="G101" s="27" t="s">
        <v>76</v>
      </c>
      <c r="H101" s="28">
        <v>1.1759259259259259E-2</v>
      </c>
      <c r="I101" s="29" t="s">
        <v>27</v>
      </c>
      <c r="J101" s="41" t="s">
        <v>181</v>
      </c>
    </row>
    <row r="102" spans="1:10" ht="19" customHeight="1" x14ac:dyDescent="0.2">
      <c r="A102" s="4">
        <v>101</v>
      </c>
      <c r="B102" s="4"/>
      <c r="C102" s="4"/>
      <c r="D102" s="4">
        <v>1</v>
      </c>
      <c r="E102" s="27" t="s">
        <v>196</v>
      </c>
      <c r="F102" s="50" t="s">
        <v>31</v>
      </c>
      <c r="G102" s="27" t="s">
        <v>77</v>
      </c>
      <c r="H102" s="28">
        <v>2.3414351851851853E-2</v>
      </c>
      <c r="I102" s="29" t="s">
        <v>27</v>
      </c>
      <c r="J102" s="41" t="s">
        <v>181</v>
      </c>
    </row>
    <row r="103" spans="1:10" ht="19" customHeight="1" x14ac:dyDescent="0.2">
      <c r="A103" s="4">
        <v>102</v>
      </c>
      <c r="B103" s="4"/>
      <c r="C103" s="4"/>
      <c r="D103" s="4">
        <v>1</v>
      </c>
      <c r="E103" s="27" t="s">
        <v>196</v>
      </c>
      <c r="F103" s="50" t="s">
        <v>30</v>
      </c>
      <c r="G103" s="27" t="s">
        <v>18</v>
      </c>
      <c r="H103" s="28">
        <v>2.0833333333333332E-2</v>
      </c>
      <c r="I103" s="29" t="s">
        <v>27</v>
      </c>
      <c r="J103" s="41" t="s">
        <v>181</v>
      </c>
    </row>
    <row r="104" spans="1:10" ht="19" customHeight="1" x14ac:dyDescent="0.2">
      <c r="A104" s="4">
        <v>103</v>
      </c>
      <c r="B104" s="4"/>
      <c r="C104" s="4"/>
      <c r="D104" s="4">
        <v>1</v>
      </c>
      <c r="E104" s="27" t="s">
        <v>196</v>
      </c>
      <c r="F104" s="50" t="s">
        <v>31</v>
      </c>
      <c r="G104" s="27" t="s">
        <v>78</v>
      </c>
      <c r="H104" s="28">
        <v>2.4340277777777777E-2</v>
      </c>
      <c r="I104" s="29" t="s">
        <v>27</v>
      </c>
      <c r="J104" s="41" t="s">
        <v>181</v>
      </c>
    </row>
    <row r="105" spans="1:10" ht="19" customHeight="1" x14ac:dyDescent="0.2">
      <c r="A105" s="4">
        <v>104</v>
      </c>
      <c r="B105" s="4"/>
      <c r="C105" s="4"/>
      <c r="D105" s="4">
        <v>1</v>
      </c>
      <c r="E105" s="27" t="s">
        <v>197</v>
      </c>
      <c r="F105" s="50" t="s">
        <v>31</v>
      </c>
      <c r="G105" s="27" t="s">
        <v>79</v>
      </c>
      <c r="H105" s="28">
        <v>6.6550925925925935E-3</v>
      </c>
      <c r="I105" s="29" t="s">
        <v>27</v>
      </c>
      <c r="J105" s="41" t="s">
        <v>181</v>
      </c>
    </row>
    <row r="106" spans="1:10" ht="19" customHeight="1" x14ac:dyDescent="0.2">
      <c r="A106" s="4">
        <v>105</v>
      </c>
      <c r="B106" s="4"/>
      <c r="C106" s="4"/>
      <c r="D106" s="4">
        <v>1</v>
      </c>
      <c r="E106" s="27" t="s">
        <v>197</v>
      </c>
      <c r="F106" s="50" t="s">
        <v>31</v>
      </c>
      <c r="G106" s="27" t="s">
        <v>80</v>
      </c>
      <c r="H106" s="28">
        <v>7.951388888888888E-3</v>
      </c>
      <c r="I106" s="29" t="s">
        <v>27</v>
      </c>
      <c r="J106" s="41" t="s">
        <v>181</v>
      </c>
    </row>
    <row r="107" spans="1:10" ht="19" customHeight="1" x14ac:dyDescent="0.2">
      <c r="A107" s="4">
        <v>106</v>
      </c>
      <c r="B107" s="4"/>
      <c r="C107" s="4"/>
      <c r="D107" s="4">
        <v>1</v>
      </c>
      <c r="E107" s="27" t="s">
        <v>197</v>
      </c>
      <c r="F107" s="50" t="s">
        <v>31</v>
      </c>
      <c r="G107" s="27" t="s">
        <v>81</v>
      </c>
      <c r="H107" s="28">
        <v>8.5532407407407415E-3</v>
      </c>
      <c r="I107" s="29" t="s">
        <v>27</v>
      </c>
      <c r="J107" s="41" t="s">
        <v>181</v>
      </c>
    </row>
    <row r="108" spans="1:10" ht="19" customHeight="1" x14ac:dyDescent="0.2">
      <c r="A108" s="4">
        <v>107</v>
      </c>
      <c r="B108" s="4"/>
      <c r="C108" s="4"/>
      <c r="D108" s="4">
        <v>1</v>
      </c>
      <c r="E108" s="27" t="s">
        <v>197</v>
      </c>
      <c r="F108" s="50" t="s">
        <v>31</v>
      </c>
      <c r="G108" s="27" t="s">
        <v>82</v>
      </c>
      <c r="H108" s="28">
        <v>8.4722222222222213E-3</v>
      </c>
      <c r="I108" s="29" t="s">
        <v>27</v>
      </c>
      <c r="J108" s="41" t="s">
        <v>181</v>
      </c>
    </row>
    <row r="109" spans="1:10" ht="19" customHeight="1" x14ac:dyDescent="0.2">
      <c r="A109" s="4">
        <v>108</v>
      </c>
      <c r="B109" s="4"/>
      <c r="C109" s="4"/>
      <c r="D109" s="4">
        <v>1</v>
      </c>
      <c r="E109" s="27" t="s">
        <v>198</v>
      </c>
      <c r="F109" s="50" t="s">
        <v>31</v>
      </c>
      <c r="G109" s="27" t="s">
        <v>75</v>
      </c>
      <c r="H109" s="28">
        <v>3.5185185185185185E-3</v>
      </c>
      <c r="I109" s="29" t="s">
        <v>27</v>
      </c>
      <c r="J109" s="41" t="s">
        <v>181</v>
      </c>
    </row>
    <row r="110" spans="1:10" ht="19" customHeight="1" x14ac:dyDescent="0.2">
      <c r="A110" s="4">
        <v>109</v>
      </c>
      <c r="B110" s="4"/>
      <c r="C110" s="4"/>
      <c r="D110" s="4">
        <v>1</v>
      </c>
      <c r="E110" s="27" t="s">
        <v>198</v>
      </c>
      <c r="F110" s="50" t="s">
        <v>31</v>
      </c>
      <c r="G110" s="27" t="s">
        <v>83</v>
      </c>
      <c r="H110" s="28">
        <v>1.1481481481481483E-2</v>
      </c>
      <c r="I110" s="29" t="s">
        <v>27</v>
      </c>
      <c r="J110" s="41" t="s">
        <v>181</v>
      </c>
    </row>
    <row r="111" spans="1:10" ht="19" customHeight="1" x14ac:dyDescent="0.2">
      <c r="A111" s="4">
        <v>110</v>
      </c>
      <c r="B111" s="4"/>
      <c r="C111" s="4"/>
      <c r="D111" s="4">
        <v>1</v>
      </c>
      <c r="E111" s="27" t="s">
        <v>198</v>
      </c>
      <c r="F111" s="50" t="s">
        <v>31</v>
      </c>
      <c r="G111" s="27" t="s">
        <v>84</v>
      </c>
      <c r="H111" s="28">
        <v>9.2013888888888892E-3</v>
      </c>
      <c r="I111" s="29" t="s">
        <v>27</v>
      </c>
      <c r="J111" s="41" t="s">
        <v>181</v>
      </c>
    </row>
    <row r="112" spans="1:10" ht="19" customHeight="1" x14ac:dyDescent="0.2">
      <c r="A112" s="4">
        <v>111</v>
      </c>
      <c r="B112" s="4"/>
      <c r="C112" s="4"/>
      <c r="D112" s="4">
        <v>1</v>
      </c>
      <c r="E112" s="27" t="s">
        <v>198</v>
      </c>
      <c r="F112" s="50" t="s">
        <v>31</v>
      </c>
      <c r="G112" s="27" t="s">
        <v>85</v>
      </c>
      <c r="H112" s="28">
        <v>1.315972222222222E-2</v>
      </c>
      <c r="I112" s="29" t="s">
        <v>27</v>
      </c>
      <c r="J112" s="41" t="s">
        <v>181</v>
      </c>
    </row>
    <row r="113" spans="1:11" ht="19" customHeight="1" x14ac:dyDescent="0.2">
      <c r="A113" s="4">
        <v>112</v>
      </c>
      <c r="B113" s="4"/>
      <c r="C113" s="4"/>
      <c r="D113" s="4">
        <v>1</v>
      </c>
      <c r="E113" s="27" t="s">
        <v>198</v>
      </c>
      <c r="F113" s="50" t="s">
        <v>31</v>
      </c>
      <c r="G113" s="27" t="s">
        <v>86</v>
      </c>
      <c r="H113" s="28">
        <v>6.8981481481481489E-3</v>
      </c>
      <c r="I113" s="29" t="s">
        <v>27</v>
      </c>
      <c r="J113" s="41" t="s">
        <v>181</v>
      </c>
    </row>
    <row r="114" spans="1:11" ht="19" customHeight="1" x14ac:dyDescent="0.2">
      <c r="A114" s="4">
        <v>113</v>
      </c>
      <c r="B114" s="4"/>
      <c r="C114" s="4"/>
      <c r="D114" s="4">
        <v>1</v>
      </c>
      <c r="E114" s="27" t="s">
        <v>198</v>
      </c>
      <c r="F114" s="2" t="s">
        <v>30</v>
      </c>
      <c r="G114" s="46" t="s">
        <v>203</v>
      </c>
      <c r="H114" s="47">
        <v>2.0833333333333332E-2</v>
      </c>
      <c r="I114" s="48" t="s">
        <v>27</v>
      </c>
      <c r="J114" s="41" t="s">
        <v>181</v>
      </c>
    </row>
    <row r="115" spans="1:11" ht="19" customHeight="1" x14ac:dyDescent="0.2">
      <c r="A115" s="4">
        <v>114</v>
      </c>
      <c r="B115" s="4"/>
      <c r="C115" s="4"/>
      <c r="D115" s="4">
        <v>1</v>
      </c>
      <c r="E115" s="27" t="s">
        <v>198</v>
      </c>
      <c r="F115" s="2" t="s">
        <v>31</v>
      </c>
      <c r="G115" s="46" t="s">
        <v>321</v>
      </c>
      <c r="H115" s="47">
        <v>1.8281249999999999E-2</v>
      </c>
      <c r="I115" s="48" t="s">
        <v>27</v>
      </c>
      <c r="J115" s="41" t="s">
        <v>181</v>
      </c>
    </row>
    <row r="116" spans="1:11" ht="19" customHeight="1" x14ac:dyDescent="0.2">
      <c r="A116" s="4">
        <v>115</v>
      </c>
      <c r="B116" s="4"/>
      <c r="C116" s="4"/>
      <c r="D116" s="4">
        <v>1</v>
      </c>
      <c r="E116" s="27" t="s">
        <v>198</v>
      </c>
      <c r="F116" s="2" t="s">
        <v>31</v>
      </c>
      <c r="G116" s="46" t="s">
        <v>322</v>
      </c>
      <c r="H116" s="47">
        <v>1.8281249999999999E-2</v>
      </c>
      <c r="I116" s="48" t="s">
        <v>27</v>
      </c>
      <c r="J116" s="41" t="s">
        <v>181</v>
      </c>
      <c r="K116" s="47"/>
    </row>
    <row r="117" spans="1:11" ht="19" customHeight="1" x14ac:dyDescent="0.2">
      <c r="A117" s="4">
        <v>116</v>
      </c>
      <c r="B117" s="4"/>
      <c r="C117" s="4"/>
      <c r="D117" s="4">
        <v>1</v>
      </c>
      <c r="E117" s="27" t="s">
        <v>198</v>
      </c>
      <c r="F117" s="50" t="s">
        <v>31</v>
      </c>
      <c r="G117" s="27" t="s">
        <v>87</v>
      </c>
      <c r="H117" s="28">
        <v>1.3981481481481482E-2</v>
      </c>
      <c r="I117" s="29" t="s">
        <v>27</v>
      </c>
      <c r="J117" s="41" t="s">
        <v>181</v>
      </c>
    </row>
    <row r="118" spans="1:11" ht="19" customHeight="1" x14ac:dyDescent="0.2">
      <c r="A118" s="4">
        <v>117</v>
      </c>
      <c r="B118" s="4"/>
      <c r="C118" s="4"/>
      <c r="D118" s="4">
        <v>1</v>
      </c>
      <c r="E118" s="27" t="s">
        <v>198</v>
      </c>
      <c r="F118" s="50" t="s">
        <v>31</v>
      </c>
      <c r="G118" s="27" t="s">
        <v>88</v>
      </c>
      <c r="H118" s="28">
        <v>1.0925925925925924E-2</v>
      </c>
      <c r="I118" s="29" t="s">
        <v>27</v>
      </c>
      <c r="J118" s="41" t="s">
        <v>181</v>
      </c>
    </row>
    <row r="119" spans="1:11" ht="19" customHeight="1" x14ac:dyDescent="0.2">
      <c r="A119" s="4">
        <v>118</v>
      </c>
      <c r="B119" s="4"/>
      <c r="C119" s="4"/>
      <c r="D119" s="4">
        <v>1</v>
      </c>
      <c r="E119" s="27" t="s">
        <v>198</v>
      </c>
      <c r="F119" s="50" t="s">
        <v>31</v>
      </c>
      <c r="G119" s="27" t="s">
        <v>89</v>
      </c>
      <c r="H119" s="28">
        <v>2.1585648148148145E-2</v>
      </c>
      <c r="I119" s="29" t="s">
        <v>27</v>
      </c>
      <c r="J119" s="41" t="s">
        <v>181</v>
      </c>
    </row>
    <row r="120" spans="1:11" ht="19" customHeight="1" x14ac:dyDescent="0.2">
      <c r="A120" s="4">
        <v>119</v>
      </c>
      <c r="B120" s="4"/>
      <c r="C120" s="4"/>
      <c r="D120" s="4">
        <v>1</v>
      </c>
      <c r="E120" s="27" t="s">
        <v>198</v>
      </c>
      <c r="F120" s="50" t="s">
        <v>31</v>
      </c>
      <c r="G120" s="27" t="s">
        <v>90</v>
      </c>
      <c r="H120" s="28">
        <v>1.1111111111111112E-2</v>
      </c>
      <c r="I120" s="29" t="s">
        <v>27</v>
      </c>
      <c r="J120" s="41" t="s">
        <v>181</v>
      </c>
    </row>
    <row r="121" spans="1:11" ht="19" customHeight="1" x14ac:dyDescent="0.2">
      <c r="A121" s="4">
        <v>120</v>
      </c>
      <c r="B121" s="4"/>
      <c r="C121" s="4"/>
      <c r="D121" s="4">
        <v>1</v>
      </c>
      <c r="E121" s="27" t="s">
        <v>198</v>
      </c>
      <c r="F121" s="50" t="s">
        <v>31</v>
      </c>
      <c r="G121" s="27" t="s">
        <v>91</v>
      </c>
      <c r="H121" s="28">
        <v>1.6157407407407409E-2</v>
      </c>
      <c r="I121" s="29" t="s">
        <v>27</v>
      </c>
      <c r="J121" s="41" t="s">
        <v>181</v>
      </c>
    </row>
    <row r="122" spans="1:11" ht="19" customHeight="1" x14ac:dyDescent="0.2">
      <c r="A122" s="4">
        <v>121</v>
      </c>
      <c r="B122" s="4"/>
      <c r="C122" s="4"/>
      <c r="D122" s="4">
        <v>1</v>
      </c>
      <c r="E122" s="27" t="s">
        <v>198</v>
      </c>
      <c r="F122" s="2" t="s">
        <v>30</v>
      </c>
      <c r="G122" s="46" t="s">
        <v>204</v>
      </c>
      <c r="H122" s="47">
        <v>2.0833333333333332E-2</v>
      </c>
      <c r="I122" s="48" t="s">
        <v>27</v>
      </c>
      <c r="J122" s="41" t="s">
        <v>181</v>
      </c>
    </row>
    <row r="123" spans="1:11" ht="19" customHeight="1" x14ac:dyDescent="0.2">
      <c r="A123" s="4">
        <v>122</v>
      </c>
      <c r="B123" s="4"/>
      <c r="C123" s="4"/>
      <c r="D123" s="4">
        <v>1</v>
      </c>
      <c r="E123" s="27" t="s">
        <v>198</v>
      </c>
      <c r="F123" s="50" t="s">
        <v>31</v>
      </c>
      <c r="G123" s="27" t="s">
        <v>92</v>
      </c>
      <c r="H123" s="28">
        <v>2.1516203703703704E-2</v>
      </c>
      <c r="I123" s="29" t="s">
        <v>27</v>
      </c>
      <c r="J123" s="41" t="s">
        <v>181</v>
      </c>
    </row>
    <row r="124" spans="1:11" ht="19" customHeight="1" x14ac:dyDescent="0.2">
      <c r="A124" s="4">
        <v>123</v>
      </c>
      <c r="B124" s="4"/>
      <c r="C124" s="4"/>
      <c r="D124" s="4">
        <v>1</v>
      </c>
      <c r="E124" s="27" t="s">
        <v>198</v>
      </c>
      <c r="F124" s="50" t="s">
        <v>31</v>
      </c>
      <c r="G124" s="27" t="s">
        <v>93</v>
      </c>
      <c r="H124" s="28">
        <v>1.1458333333333334E-2</v>
      </c>
      <c r="I124" s="29" t="s">
        <v>27</v>
      </c>
      <c r="J124" s="41" t="s">
        <v>181</v>
      </c>
    </row>
    <row r="125" spans="1:11" ht="19" customHeight="1" x14ac:dyDescent="0.2">
      <c r="A125" s="4">
        <v>124</v>
      </c>
      <c r="B125" s="4"/>
      <c r="C125" s="4"/>
      <c r="D125" s="4">
        <v>1</v>
      </c>
      <c r="E125" s="27" t="s">
        <v>198</v>
      </c>
      <c r="F125" s="50" t="s">
        <v>31</v>
      </c>
      <c r="G125" s="27" t="s">
        <v>94</v>
      </c>
      <c r="H125" s="28">
        <v>2.2199074074074076E-2</v>
      </c>
      <c r="I125" s="29" t="s">
        <v>27</v>
      </c>
      <c r="J125" s="41" t="s">
        <v>181</v>
      </c>
    </row>
    <row r="126" spans="1:11" ht="19" customHeight="1" x14ac:dyDescent="0.2">
      <c r="A126" s="4">
        <v>125</v>
      </c>
      <c r="B126" s="4"/>
      <c r="C126" s="4"/>
      <c r="D126" s="4">
        <v>1</v>
      </c>
      <c r="E126" s="27" t="s">
        <v>198</v>
      </c>
      <c r="F126" s="50" t="s">
        <v>31</v>
      </c>
      <c r="G126" s="27" t="s">
        <v>95</v>
      </c>
      <c r="H126" s="28">
        <v>1.9224537037037037E-2</v>
      </c>
      <c r="I126" s="29" t="s">
        <v>27</v>
      </c>
      <c r="J126" s="41" t="s">
        <v>181</v>
      </c>
    </row>
    <row r="127" spans="1:11" ht="19" customHeight="1" x14ac:dyDescent="0.2">
      <c r="A127" s="4">
        <v>126</v>
      </c>
      <c r="B127" s="4"/>
      <c r="C127" s="4"/>
      <c r="D127" s="4">
        <v>1</v>
      </c>
      <c r="E127" s="27" t="s">
        <v>198</v>
      </c>
      <c r="F127" s="2" t="s">
        <v>31</v>
      </c>
      <c r="G127" s="46" t="s">
        <v>205</v>
      </c>
      <c r="H127" s="47">
        <v>2.0532407407407409E-2</v>
      </c>
      <c r="I127" s="48" t="s">
        <v>27</v>
      </c>
      <c r="J127" s="41" t="s">
        <v>181</v>
      </c>
    </row>
    <row r="128" spans="1:11" ht="19" customHeight="1" x14ac:dyDescent="0.2">
      <c r="A128" s="4">
        <v>127</v>
      </c>
      <c r="B128" s="4"/>
      <c r="C128" s="4"/>
      <c r="D128" s="4">
        <v>1</v>
      </c>
      <c r="E128" s="27" t="s">
        <v>198</v>
      </c>
      <c r="F128" s="2" t="s">
        <v>31</v>
      </c>
      <c r="G128" s="46" t="s">
        <v>206</v>
      </c>
      <c r="H128" s="47">
        <v>2.6666666666666668E-2</v>
      </c>
      <c r="I128" s="48" t="s">
        <v>27</v>
      </c>
      <c r="J128" s="41" t="s">
        <v>181</v>
      </c>
    </row>
    <row r="129" spans="1:10" ht="19" customHeight="1" x14ac:dyDescent="0.2">
      <c r="A129" s="4">
        <v>128</v>
      </c>
      <c r="B129" s="4"/>
      <c r="C129" s="4"/>
      <c r="D129" s="4">
        <v>1</v>
      </c>
      <c r="E129" s="27" t="s">
        <v>198</v>
      </c>
      <c r="F129" s="2" t="s">
        <v>31</v>
      </c>
      <c r="G129" s="46" t="s">
        <v>207</v>
      </c>
      <c r="H129" s="47">
        <v>5.9837962962962961E-3</v>
      </c>
      <c r="I129" s="48" t="s">
        <v>27</v>
      </c>
      <c r="J129" s="41" t="s">
        <v>181</v>
      </c>
    </row>
    <row r="130" spans="1:10" ht="19" customHeight="1" x14ac:dyDescent="0.2">
      <c r="A130" s="4">
        <v>129</v>
      </c>
      <c r="B130" s="4"/>
      <c r="C130" s="4"/>
      <c r="D130" s="4">
        <v>1</v>
      </c>
      <c r="E130" s="27" t="s">
        <v>198</v>
      </c>
      <c r="F130" s="2" t="s">
        <v>31</v>
      </c>
      <c r="G130" s="46" t="s">
        <v>208</v>
      </c>
      <c r="H130" s="47">
        <v>4.8148148148148152E-3</v>
      </c>
      <c r="I130" s="48" t="s">
        <v>27</v>
      </c>
      <c r="J130" s="41" t="s">
        <v>181</v>
      </c>
    </row>
    <row r="131" spans="1:10" ht="19" customHeight="1" x14ac:dyDescent="0.2">
      <c r="A131" s="4">
        <v>130</v>
      </c>
      <c r="B131" s="4"/>
      <c r="C131" s="4"/>
      <c r="D131" s="4">
        <v>1</v>
      </c>
      <c r="E131" s="27" t="s">
        <v>198</v>
      </c>
      <c r="F131" s="2" t="s">
        <v>31</v>
      </c>
      <c r="G131" s="46" t="s">
        <v>209</v>
      </c>
      <c r="H131" s="47">
        <v>1.5393518518518519E-3</v>
      </c>
      <c r="I131" s="48" t="s">
        <v>27</v>
      </c>
      <c r="J131" s="41" t="s">
        <v>181</v>
      </c>
    </row>
    <row r="132" spans="1:10" ht="19" customHeight="1" x14ac:dyDescent="0.2">
      <c r="A132" s="4">
        <v>131</v>
      </c>
      <c r="B132" s="4"/>
      <c r="C132" s="4"/>
      <c r="D132" s="4">
        <v>1</v>
      </c>
      <c r="E132" s="27" t="s">
        <v>198</v>
      </c>
      <c r="F132" s="2" t="s">
        <v>31</v>
      </c>
      <c r="G132" s="46" t="s">
        <v>210</v>
      </c>
      <c r="H132" s="47">
        <v>1.7222222222222222E-2</v>
      </c>
      <c r="I132" s="48" t="s">
        <v>27</v>
      </c>
      <c r="J132" s="41" t="s">
        <v>181</v>
      </c>
    </row>
    <row r="133" spans="1:10" ht="19" customHeight="1" x14ac:dyDescent="0.2">
      <c r="A133" s="4">
        <v>132</v>
      </c>
      <c r="B133" s="4">
        <v>1</v>
      </c>
      <c r="C133" s="4">
        <v>1</v>
      </c>
      <c r="D133" s="4">
        <v>1</v>
      </c>
      <c r="E133" s="27" t="s">
        <v>188</v>
      </c>
      <c r="F133" s="50" t="s">
        <v>31</v>
      </c>
      <c r="G133" s="27" t="s">
        <v>128</v>
      </c>
      <c r="H133" s="28">
        <v>8.6342592592592599E-3</v>
      </c>
      <c r="I133" s="29" t="s">
        <v>27</v>
      </c>
      <c r="J133" s="41" t="s">
        <v>181</v>
      </c>
    </row>
    <row r="134" spans="1:10" ht="19" customHeight="1" x14ac:dyDescent="0.2">
      <c r="A134" s="4">
        <v>133</v>
      </c>
      <c r="B134" s="4">
        <v>1</v>
      </c>
      <c r="C134" s="4">
        <v>1</v>
      </c>
      <c r="D134" s="4">
        <v>1</v>
      </c>
      <c r="E134" s="27" t="s">
        <v>188</v>
      </c>
      <c r="F134" s="50" t="s">
        <v>31</v>
      </c>
      <c r="G134" s="27" t="s">
        <v>129</v>
      </c>
      <c r="H134" s="28">
        <v>1.2627314814814815E-2</v>
      </c>
      <c r="I134" s="29" t="s">
        <v>27</v>
      </c>
      <c r="J134" s="41" t="s">
        <v>181</v>
      </c>
    </row>
    <row r="135" spans="1:10" ht="19" customHeight="1" x14ac:dyDescent="0.2">
      <c r="A135" s="4">
        <v>134</v>
      </c>
      <c r="B135" s="4"/>
      <c r="C135" s="4">
        <v>1</v>
      </c>
      <c r="D135" s="4">
        <v>1</v>
      </c>
      <c r="E135" s="27" t="s">
        <v>199</v>
      </c>
      <c r="F135" s="50" t="s">
        <v>31</v>
      </c>
      <c r="G135" s="27" t="s">
        <v>130</v>
      </c>
      <c r="H135" s="28">
        <v>2.0219907407407409E-2</v>
      </c>
      <c r="I135" s="29" t="s">
        <v>27</v>
      </c>
      <c r="J135" s="41" t="s">
        <v>181</v>
      </c>
    </row>
    <row r="136" spans="1:10" ht="19" customHeight="1" x14ac:dyDescent="0.2">
      <c r="A136" s="4">
        <v>135</v>
      </c>
      <c r="B136" s="4"/>
      <c r="C136" s="4">
        <v>1</v>
      </c>
      <c r="D136" s="4">
        <v>1</v>
      </c>
      <c r="E136" s="27" t="s">
        <v>199</v>
      </c>
      <c r="F136" s="50" t="s">
        <v>31</v>
      </c>
      <c r="G136" s="27" t="s">
        <v>131</v>
      </c>
      <c r="H136" s="28">
        <v>4.3518518518518515E-3</v>
      </c>
      <c r="I136" s="29" t="s">
        <v>27</v>
      </c>
      <c r="J136" s="41" t="s">
        <v>181</v>
      </c>
    </row>
    <row r="137" spans="1:10" ht="19" customHeight="1" x14ac:dyDescent="0.2">
      <c r="A137" s="4">
        <v>136</v>
      </c>
      <c r="B137" s="4"/>
      <c r="C137" s="4">
        <v>1</v>
      </c>
      <c r="D137" s="4">
        <v>1</v>
      </c>
      <c r="E137" s="27" t="s">
        <v>199</v>
      </c>
      <c r="F137" s="50" t="s">
        <v>31</v>
      </c>
      <c r="G137" s="27" t="s">
        <v>132</v>
      </c>
      <c r="H137" s="28">
        <v>2.388888888888889E-2</v>
      </c>
      <c r="I137" s="29" t="s">
        <v>27</v>
      </c>
      <c r="J137" s="41" t="s">
        <v>181</v>
      </c>
    </row>
    <row r="138" spans="1:10" ht="19" customHeight="1" x14ac:dyDescent="0.2">
      <c r="A138" s="4">
        <v>137</v>
      </c>
      <c r="B138" s="4"/>
      <c r="C138" s="4">
        <v>1</v>
      </c>
      <c r="D138" s="4">
        <v>1</v>
      </c>
      <c r="E138" s="27" t="s">
        <v>199</v>
      </c>
      <c r="F138" s="50" t="s">
        <v>30</v>
      </c>
      <c r="G138" s="27" t="s">
        <v>22</v>
      </c>
      <c r="H138" s="28">
        <v>2.0833333333333332E-2</v>
      </c>
      <c r="I138" s="29" t="s">
        <v>27</v>
      </c>
      <c r="J138" s="41" t="s">
        <v>181</v>
      </c>
    </row>
    <row r="139" spans="1:10" ht="19" customHeight="1" x14ac:dyDescent="0.2">
      <c r="A139" s="4">
        <v>138</v>
      </c>
      <c r="B139" s="4"/>
      <c r="C139" s="4">
        <v>1</v>
      </c>
      <c r="D139" s="4">
        <v>1</v>
      </c>
      <c r="E139" s="27" t="s">
        <v>199</v>
      </c>
      <c r="F139" s="50" t="s">
        <v>31</v>
      </c>
      <c r="G139" s="27" t="s">
        <v>133</v>
      </c>
      <c r="H139" s="28">
        <v>5.7754629629629623E-3</v>
      </c>
      <c r="I139" s="29" t="s">
        <v>27</v>
      </c>
      <c r="J139" s="41" t="s">
        <v>181</v>
      </c>
    </row>
    <row r="140" spans="1:10" ht="19" customHeight="1" x14ac:dyDescent="0.2">
      <c r="A140" s="4">
        <v>139</v>
      </c>
      <c r="B140" s="4"/>
      <c r="C140" s="4">
        <v>1</v>
      </c>
      <c r="D140" s="4">
        <v>1</v>
      </c>
      <c r="E140" s="27" t="s">
        <v>199</v>
      </c>
      <c r="F140" s="50" t="s">
        <v>31</v>
      </c>
      <c r="G140" s="27" t="s">
        <v>134</v>
      </c>
      <c r="H140" s="28">
        <v>1.4745370370370372E-2</v>
      </c>
      <c r="I140" s="29" t="s">
        <v>27</v>
      </c>
      <c r="J140" s="41" t="s">
        <v>181</v>
      </c>
    </row>
    <row r="141" spans="1:10" ht="19" customHeight="1" x14ac:dyDescent="0.2">
      <c r="A141" s="4">
        <v>140</v>
      </c>
      <c r="B141" s="4"/>
      <c r="C141" s="4">
        <v>1</v>
      </c>
      <c r="D141" s="4">
        <v>1</v>
      </c>
      <c r="E141" s="27" t="s">
        <v>199</v>
      </c>
      <c r="F141" s="50" t="s">
        <v>30</v>
      </c>
      <c r="G141" s="27" t="s">
        <v>23</v>
      </c>
      <c r="H141" s="28">
        <v>2.0833333333333332E-2</v>
      </c>
      <c r="I141" s="29" t="s">
        <v>27</v>
      </c>
      <c r="J141" s="41" t="s">
        <v>181</v>
      </c>
    </row>
    <row r="142" spans="1:10" ht="19" customHeight="1" x14ac:dyDescent="0.2">
      <c r="A142" s="4">
        <v>141</v>
      </c>
      <c r="B142" s="4"/>
      <c r="C142" s="4">
        <v>1</v>
      </c>
      <c r="D142" s="4">
        <v>1</v>
      </c>
      <c r="E142" s="27" t="s">
        <v>199</v>
      </c>
      <c r="F142" s="50" t="s">
        <v>31</v>
      </c>
      <c r="G142" s="27" t="s">
        <v>135</v>
      </c>
      <c r="H142" s="28">
        <v>1.3078703703703703E-2</v>
      </c>
      <c r="I142" s="29" t="s">
        <v>27</v>
      </c>
      <c r="J142" s="41" t="s">
        <v>181</v>
      </c>
    </row>
    <row r="143" spans="1:10" ht="19" customHeight="1" x14ac:dyDescent="0.2">
      <c r="A143" s="4">
        <v>142</v>
      </c>
      <c r="B143" s="4"/>
      <c r="C143" s="4">
        <v>1</v>
      </c>
      <c r="D143" s="4">
        <v>1</v>
      </c>
      <c r="E143" s="27" t="s">
        <v>199</v>
      </c>
      <c r="F143" s="50" t="s">
        <v>31</v>
      </c>
      <c r="G143" s="27" t="s">
        <v>136</v>
      </c>
      <c r="H143" s="28">
        <v>1.4212962962962962E-2</v>
      </c>
      <c r="I143" s="29" t="s">
        <v>27</v>
      </c>
      <c r="J143" s="41" t="s">
        <v>181</v>
      </c>
    </row>
    <row r="144" spans="1:10" ht="19" customHeight="1" x14ac:dyDescent="0.2">
      <c r="A144" s="4">
        <v>143</v>
      </c>
      <c r="B144" s="4"/>
      <c r="C144" s="4">
        <v>1</v>
      </c>
      <c r="D144" s="4">
        <v>1</v>
      </c>
      <c r="E144" s="27" t="s">
        <v>199</v>
      </c>
      <c r="F144" s="50" t="s">
        <v>30</v>
      </c>
      <c r="G144" s="27" t="s">
        <v>24</v>
      </c>
      <c r="H144" s="28">
        <v>2.0833333333333332E-2</v>
      </c>
      <c r="I144" s="29" t="s">
        <v>27</v>
      </c>
      <c r="J144" s="41" t="s">
        <v>181</v>
      </c>
    </row>
    <row r="145" spans="1:10" ht="19" customHeight="1" x14ac:dyDescent="0.2">
      <c r="A145" s="4">
        <v>144</v>
      </c>
      <c r="B145" s="4"/>
      <c r="C145" s="4">
        <v>1</v>
      </c>
      <c r="D145" s="4">
        <v>1</v>
      </c>
      <c r="E145" s="27" t="s">
        <v>199</v>
      </c>
      <c r="F145" s="50" t="s">
        <v>31</v>
      </c>
      <c r="G145" s="27" t="s">
        <v>137</v>
      </c>
      <c r="H145" s="28">
        <v>2.1631944444444443E-2</v>
      </c>
      <c r="I145" s="29" t="s">
        <v>27</v>
      </c>
      <c r="J145" s="41" t="s">
        <v>181</v>
      </c>
    </row>
    <row r="146" spans="1:10" ht="19" customHeight="1" x14ac:dyDescent="0.2">
      <c r="A146" s="4">
        <v>145</v>
      </c>
      <c r="B146" s="4"/>
      <c r="C146" s="4">
        <v>1</v>
      </c>
      <c r="D146" s="4">
        <v>1</v>
      </c>
      <c r="E146" s="27" t="s">
        <v>199</v>
      </c>
      <c r="F146" s="50" t="s">
        <v>31</v>
      </c>
      <c r="G146" s="27" t="s">
        <v>138</v>
      </c>
      <c r="H146" s="28">
        <v>2.1053240740740744E-2</v>
      </c>
      <c r="I146" s="29" t="s">
        <v>27</v>
      </c>
      <c r="J146" s="41" t="s">
        <v>181</v>
      </c>
    </row>
    <row r="147" spans="1:10" ht="19" customHeight="1" x14ac:dyDescent="0.2">
      <c r="A147" s="4">
        <v>146</v>
      </c>
      <c r="B147" s="4"/>
      <c r="C147" s="4">
        <v>1</v>
      </c>
      <c r="D147" s="4">
        <v>1</v>
      </c>
      <c r="E147" s="27" t="s">
        <v>199</v>
      </c>
      <c r="F147" s="50" t="s">
        <v>31</v>
      </c>
      <c r="G147" s="27" t="s">
        <v>139</v>
      </c>
      <c r="H147" s="28">
        <v>1.3645833333333331E-2</v>
      </c>
      <c r="I147" s="29" t="s">
        <v>27</v>
      </c>
      <c r="J147" s="41" t="s">
        <v>181</v>
      </c>
    </row>
    <row r="148" spans="1:10" ht="19" customHeight="1" x14ac:dyDescent="0.2">
      <c r="A148" s="4">
        <v>147</v>
      </c>
      <c r="B148" s="4"/>
      <c r="C148" s="4">
        <v>1</v>
      </c>
      <c r="D148" s="4">
        <v>1</v>
      </c>
      <c r="E148" s="27" t="s">
        <v>199</v>
      </c>
      <c r="F148" s="50" t="s">
        <v>31</v>
      </c>
      <c r="G148" s="27" t="s">
        <v>140</v>
      </c>
      <c r="H148" s="28">
        <v>6.0416666666666665E-3</v>
      </c>
      <c r="I148" s="29" t="s">
        <v>27</v>
      </c>
      <c r="J148" s="41" t="s">
        <v>181</v>
      </c>
    </row>
    <row r="149" spans="1:10" ht="19" customHeight="1" x14ac:dyDescent="0.2">
      <c r="A149" s="4">
        <v>148</v>
      </c>
      <c r="B149" s="4"/>
      <c r="C149" s="4">
        <v>1</v>
      </c>
      <c r="D149" s="4">
        <v>1</v>
      </c>
      <c r="E149" s="27" t="s">
        <v>199</v>
      </c>
      <c r="F149" s="50" t="s">
        <v>31</v>
      </c>
      <c r="G149" s="27" t="s">
        <v>141</v>
      </c>
      <c r="H149" s="28">
        <v>4.9305555555555552E-3</v>
      </c>
      <c r="I149" s="29" t="s">
        <v>27</v>
      </c>
      <c r="J149" s="41" t="s">
        <v>181</v>
      </c>
    </row>
    <row r="150" spans="1:10" ht="19" customHeight="1" x14ac:dyDescent="0.2">
      <c r="A150" s="4">
        <v>149</v>
      </c>
      <c r="B150" s="4"/>
      <c r="C150" s="4">
        <v>1</v>
      </c>
      <c r="D150" s="4">
        <v>1</v>
      </c>
      <c r="E150" s="27" t="s">
        <v>199</v>
      </c>
      <c r="F150" s="50" t="s">
        <v>31</v>
      </c>
      <c r="G150" s="27" t="s">
        <v>142</v>
      </c>
      <c r="H150" s="28">
        <v>1.3773148148148147E-2</v>
      </c>
      <c r="I150" s="29" t="s">
        <v>27</v>
      </c>
      <c r="J150" s="41" t="s">
        <v>181</v>
      </c>
    </row>
    <row r="151" spans="1:10" ht="19" customHeight="1" x14ac:dyDescent="0.2">
      <c r="A151" s="4">
        <v>150</v>
      </c>
      <c r="B151" s="4"/>
      <c r="C151" s="4">
        <v>1</v>
      </c>
      <c r="D151" s="4">
        <v>1</v>
      </c>
      <c r="E151" s="27" t="s">
        <v>199</v>
      </c>
      <c r="F151" s="50" t="s">
        <v>31</v>
      </c>
      <c r="G151" s="27" t="s">
        <v>143</v>
      </c>
      <c r="H151" s="28">
        <v>1.6134259259259261E-2</v>
      </c>
      <c r="I151" s="29" t="s">
        <v>27</v>
      </c>
      <c r="J151" s="41" t="s">
        <v>181</v>
      </c>
    </row>
    <row r="152" spans="1:10" ht="19" customHeight="1" x14ac:dyDescent="0.2">
      <c r="A152" s="4">
        <v>151</v>
      </c>
      <c r="B152" s="4"/>
      <c r="C152" s="4">
        <v>1</v>
      </c>
      <c r="D152" s="4">
        <v>1</v>
      </c>
      <c r="E152" s="27" t="s">
        <v>199</v>
      </c>
      <c r="F152" s="50" t="s">
        <v>31</v>
      </c>
      <c r="G152" s="27" t="s">
        <v>144</v>
      </c>
      <c r="H152" s="28">
        <v>8.8888888888888889E-3</v>
      </c>
      <c r="I152" s="29" t="s">
        <v>27</v>
      </c>
      <c r="J152" s="41" t="s">
        <v>181</v>
      </c>
    </row>
    <row r="153" spans="1:10" ht="19" customHeight="1" x14ac:dyDescent="0.2">
      <c r="A153" s="4">
        <v>152</v>
      </c>
      <c r="B153" s="4"/>
      <c r="C153" s="4">
        <v>1</v>
      </c>
      <c r="D153" s="4">
        <v>1</v>
      </c>
      <c r="E153" s="27" t="s">
        <v>199</v>
      </c>
      <c r="F153" s="50" t="s">
        <v>31</v>
      </c>
      <c r="G153" s="27" t="s">
        <v>145</v>
      </c>
      <c r="H153" s="28">
        <v>7.8356481481481489E-3</v>
      </c>
      <c r="I153" s="29" t="s">
        <v>27</v>
      </c>
      <c r="J153" s="41" t="s">
        <v>181</v>
      </c>
    </row>
    <row r="154" spans="1:10" ht="19" customHeight="1" x14ac:dyDescent="0.2">
      <c r="A154" s="4">
        <v>153</v>
      </c>
      <c r="B154" s="4"/>
      <c r="C154" s="4">
        <v>1</v>
      </c>
      <c r="D154" s="4">
        <v>1</v>
      </c>
      <c r="E154" s="27" t="s">
        <v>199</v>
      </c>
      <c r="F154" s="50" t="s">
        <v>31</v>
      </c>
      <c r="G154" s="27" t="s">
        <v>146</v>
      </c>
      <c r="H154" s="28">
        <v>5.7407407407407416E-3</v>
      </c>
      <c r="I154" s="29" t="s">
        <v>27</v>
      </c>
      <c r="J154" s="41" t="s">
        <v>181</v>
      </c>
    </row>
    <row r="155" spans="1:10" ht="19" customHeight="1" x14ac:dyDescent="0.2">
      <c r="A155" s="4">
        <v>154</v>
      </c>
      <c r="B155" s="4"/>
      <c r="C155" s="4">
        <v>1</v>
      </c>
      <c r="D155" s="4">
        <v>1</v>
      </c>
      <c r="E155" s="27" t="s">
        <v>199</v>
      </c>
      <c r="F155" s="50" t="s">
        <v>31</v>
      </c>
      <c r="G155" s="27" t="s">
        <v>147</v>
      </c>
      <c r="H155" s="28">
        <v>2.3078703703703702E-2</v>
      </c>
      <c r="I155" s="29" t="s">
        <v>27</v>
      </c>
      <c r="J155" s="41" t="s">
        <v>181</v>
      </c>
    </row>
    <row r="156" spans="1:10" ht="19" customHeight="1" x14ac:dyDescent="0.2">
      <c r="A156" s="4">
        <v>155</v>
      </c>
      <c r="B156" s="4"/>
      <c r="C156" s="4">
        <v>1</v>
      </c>
      <c r="D156" s="4">
        <v>1</v>
      </c>
      <c r="E156" s="27" t="s">
        <v>199</v>
      </c>
      <c r="F156" s="50" t="s">
        <v>31</v>
      </c>
      <c r="G156" s="27" t="s">
        <v>148</v>
      </c>
      <c r="H156" s="28">
        <v>1.9791666666666666E-2</v>
      </c>
      <c r="I156" s="29" t="s">
        <v>27</v>
      </c>
      <c r="J156" s="41" t="s">
        <v>181</v>
      </c>
    </row>
    <row r="157" spans="1:10" ht="19" customHeight="1" x14ac:dyDescent="0.2">
      <c r="A157" s="4">
        <v>156</v>
      </c>
      <c r="B157" s="4"/>
      <c r="C157" s="4">
        <v>1</v>
      </c>
      <c r="D157" s="4">
        <v>1</v>
      </c>
      <c r="E157" s="27" t="s">
        <v>199</v>
      </c>
      <c r="F157" s="50" t="s">
        <v>31</v>
      </c>
      <c r="G157" s="27" t="s">
        <v>149</v>
      </c>
      <c r="H157" s="28">
        <v>8.6921296296296312E-3</v>
      </c>
      <c r="I157" s="29" t="s">
        <v>27</v>
      </c>
      <c r="J157" s="41" t="s">
        <v>181</v>
      </c>
    </row>
    <row r="158" spans="1:10" ht="19" customHeight="1" x14ac:dyDescent="0.2">
      <c r="A158" s="4">
        <v>157</v>
      </c>
      <c r="B158" s="4"/>
      <c r="C158" s="4">
        <v>1</v>
      </c>
      <c r="D158" s="4">
        <v>1</v>
      </c>
      <c r="E158" s="27" t="s">
        <v>199</v>
      </c>
      <c r="F158" s="50" t="s">
        <v>31</v>
      </c>
      <c r="G158" s="27" t="s">
        <v>150</v>
      </c>
      <c r="H158" s="28">
        <v>1.105324074074074E-2</v>
      </c>
      <c r="I158" s="29" t="s">
        <v>27</v>
      </c>
      <c r="J158" s="41" t="s">
        <v>181</v>
      </c>
    </row>
    <row r="159" spans="1:10" ht="19" customHeight="1" x14ac:dyDescent="0.2">
      <c r="A159" s="4">
        <v>158</v>
      </c>
      <c r="B159" s="4"/>
      <c r="C159" s="4"/>
      <c r="D159" s="4">
        <v>1</v>
      </c>
      <c r="E159" s="27" t="s">
        <v>200</v>
      </c>
      <c r="F159" s="50" t="s">
        <v>31</v>
      </c>
      <c r="G159" s="27" t="s">
        <v>184</v>
      </c>
      <c r="H159" s="28">
        <v>2.0833333333333332E-2</v>
      </c>
      <c r="I159" s="29" t="s">
        <v>27</v>
      </c>
      <c r="J159" s="41" t="s">
        <v>181</v>
      </c>
    </row>
    <row r="160" spans="1:10" ht="19" customHeight="1" x14ac:dyDescent="0.2">
      <c r="A160" s="4">
        <v>159</v>
      </c>
      <c r="B160" s="4"/>
      <c r="C160" s="4"/>
      <c r="D160" s="4">
        <v>1</v>
      </c>
      <c r="E160" s="27" t="s">
        <v>200</v>
      </c>
      <c r="F160" s="50" t="s">
        <v>31</v>
      </c>
      <c r="G160" s="27" t="s">
        <v>185</v>
      </c>
      <c r="H160" s="28">
        <v>1.2002314814814815E-2</v>
      </c>
      <c r="I160" s="29" t="s">
        <v>27</v>
      </c>
      <c r="J160" s="41" t="s">
        <v>181</v>
      </c>
    </row>
    <row r="161" spans="1:10" ht="19" customHeight="1" x14ac:dyDescent="0.2">
      <c r="A161" s="4">
        <v>160</v>
      </c>
      <c r="B161" s="4"/>
      <c r="C161" s="4"/>
      <c r="D161" s="4">
        <v>1</v>
      </c>
      <c r="E161" s="27" t="s">
        <v>200</v>
      </c>
      <c r="F161" s="50" t="s">
        <v>31</v>
      </c>
      <c r="G161" s="27" t="s">
        <v>151</v>
      </c>
      <c r="H161" s="28">
        <v>1.9155092592592592E-2</v>
      </c>
      <c r="I161" s="29" t="s">
        <v>27</v>
      </c>
      <c r="J161" s="41" t="s">
        <v>181</v>
      </c>
    </row>
    <row r="162" spans="1:10" ht="19" customHeight="1" x14ac:dyDescent="0.2">
      <c r="A162" s="4">
        <v>161</v>
      </c>
      <c r="B162" s="4"/>
      <c r="C162" s="4"/>
      <c r="D162" s="4">
        <v>1</v>
      </c>
      <c r="E162" s="27" t="s">
        <v>200</v>
      </c>
      <c r="F162" s="50" t="s">
        <v>31</v>
      </c>
      <c r="G162" s="27" t="s">
        <v>152</v>
      </c>
      <c r="H162" s="28">
        <v>1.7430555555555557E-2</v>
      </c>
      <c r="I162" s="29" t="s">
        <v>27</v>
      </c>
      <c r="J162" s="41" t="s">
        <v>181</v>
      </c>
    </row>
    <row r="163" spans="1:10" ht="19" customHeight="1" x14ac:dyDescent="0.2">
      <c r="A163" s="4">
        <v>162</v>
      </c>
      <c r="B163" s="4"/>
      <c r="C163" s="4"/>
      <c r="D163" s="4">
        <v>1</v>
      </c>
      <c r="E163" s="27" t="s">
        <v>200</v>
      </c>
      <c r="F163" s="50" t="s">
        <v>31</v>
      </c>
      <c r="G163" s="27" t="s">
        <v>153</v>
      </c>
      <c r="H163" s="28">
        <v>2.6516203703703698E-2</v>
      </c>
      <c r="I163" s="29" t="s">
        <v>27</v>
      </c>
      <c r="J163" s="41" t="s">
        <v>181</v>
      </c>
    </row>
    <row r="164" spans="1:10" ht="19" customHeight="1" x14ac:dyDescent="0.2">
      <c r="A164" s="4">
        <v>163</v>
      </c>
      <c r="B164" s="4"/>
      <c r="C164" s="4"/>
      <c r="D164" s="4">
        <v>1</v>
      </c>
      <c r="E164" s="27" t="s">
        <v>200</v>
      </c>
      <c r="F164" s="50" t="s">
        <v>31</v>
      </c>
      <c r="G164" s="27" t="s">
        <v>154</v>
      </c>
      <c r="H164" s="28">
        <v>1.6770833333333332E-2</v>
      </c>
      <c r="I164" s="29" t="s">
        <v>27</v>
      </c>
      <c r="J164" s="41" t="s">
        <v>181</v>
      </c>
    </row>
    <row r="165" spans="1:10" ht="19" customHeight="1" x14ac:dyDescent="0.2">
      <c r="A165" s="4">
        <v>164</v>
      </c>
      <c r="B165" s="4"/>
      <c r="C165" s="4"/>
      <c r="D165" s="4">
        <v>1</v>
      </c>
      <c r="E165" s="27" t="s">
        <v>200</v>
      </c>
      <c r="F165" s="50" t="s">
        <v>31</v>
      </c>
      <c r="G165" s="27" t="s">
        <v>155</v>
      </c>
      <c r="H165" s="28">
        <v>1.2673611111111109E-2</v>
      </c>
      <c r="I165" s="29" t="s">
        <v>27</v>
      </c>
      <c r="J165" s="41" t="s">
        <v>181</v>
      </c>
    </row>
    <row r="166" spans="1:10" ht="19" customHeight="1" x14ac:dyDescent="0.2">
      <c r="A166" s="4">
        <v>165</v>
      </c>
      <c r="B166" s="4"/>
      <c r="C166" s="4"/>
      <c r="D166" s="4">
        <v>1</v>
      </c>
      <c r="E166" s="27" t="s">
        <v>200</v>
      </c>
      <c r="F166" s="50" t="s">
        <v>31</v>
      </c>
      <c r="G166" s="27" t="s">
        <v>156</v>
      </c>
      <c r="H166" s="28">
        <v>1.1435185185185185E-2</v>
      </c>
      <c r="I166" s="29" t="s">
        <v>27</v>
      </c>
      <c r="J166" s="41" t="s">
        <v>181</v>
      </c>
    </row>
    <row r="167" spans="1:10" ht="19" customHeight="1" x14ac:dyDescent="0.2">
      <c r="A167" s="4">
        <v>166</v>
      </c>
      <c r="B167" s="4"/>
      <c r="C167" s="4"/>
      <c r="D167" s="4">
        <v>1</v>
      </c>
      <c r="E167" s="27" t="s">
        <v>200</v>
      </c>
      <c r="F167" s="50" t="s">
        <v>31</v>
      </c>
      <c r="G167" s="27" t="s">
        <v>157</v>
      </c>
      <c r="H167" s="28">
        <v>1.019675925925926E-2</v>
      </c>
      <c r="I167" s="29" t="s">
        <v>27</v>
      </c>
      <c r="J167" s="41" t="s">
        <v>181</v>
      </c>
    </row>
    <row r="168" spans="1:10" ht="19" customHeight="1" x14ac:dyDescent="0.2">
      <c r="A168" s="4">
        <v>167</v>
      </c>
      <c r="B168" s="4"/>
      <c r="C168" s="4"/>
      <c r="D168" s="4">
        <v>1</v>
      </c>
      <c r="E168" s="27" t="s">
        <v>200</v>
      </c>
      <c r="F168" s="50" t="s">
        <v>31</v>
      </c>
      <c r="G168" s="27" t="s">
        <v>158</v>
      </c>
      <c r="H168" s="28">
        <v>1.1655092592592594E-2</v>
      </c>
      <c r="I168" s="29" t="s">
        <v>27</v>
      </c>
      <c r="J168" s="41" t="s">
        <v>181</v>
      </c>
    </row>
    <row r="169" spans="1:10" ht="19" customHeight="1" x14ac:dyDescent="0.2">
      <c r="A169" s="4">
        <v>168</v>
      </c>
      <c r="B169" s="4"/>
      <c r="C169" s="4"/>
      <c r="D169" s="4">
        <v>1</v>
      </c>
      <c r="E169" s="27" t="s">
        <v>200</v>
      </c>
      <c r="F169" s="50" t="s">
        <v>31</v>
      </c>
      <c r="G169" s="27" t="s">
        <v>159</v>
      </c>
      <c r="H169" s="28">
        <v>1.8993055555555558E-2</v>
      </c>
      <c r="I169" s="29" t="s">
        <v>27</v>
      </c>
      <c r="J169" s="41" t="s">
        <v>181</v>
      </c>
    </row>
    <row r="170" spans="1:10" ht="19" customHeight="1" x14ac:dyDescent="0.2">
      <c r="A170" s="4">
        <v>169</v>
      </c>
      <c r="B170" s="4"/>
      <c r="C170" s="4"/>
      <c r="D170" s="4">
        <v>1</v>
      </c>
      <c r="E170" s="27" t="s">
        <v>200</v>
      </c>
      <c r="F170" s="50" t="s">
        <v>31</v>
      </c>
      <c r="G170" s="27" t="s">
        <v>160</v>
      </c>
      <c r="H170" s="28">
        <v>2.1006944444444443E-2</v>
      </c>
      <c r="I170" s="29" t="s">
        <v>27</v>
      </c>
      <c r="J170" s="41" t="s">
        <v>181</v>
      </c>
    </row>
    <row r="171" spans="1:10" ht="19" customHeight="1" x14ac:dyDescent="0.2">
      <c r="A171" s="4">
        <v>170</v>
      </c>
      <c r="B171" s="4"/>
      <c r="C171" s="4"/>
      <c r="D171" s="4">
        <v>1</v>
      </c>
      <c r="E171" s="27" t="s">
        <v>200</v>
      </c>
      <c r="F171" s="50" t="s">
        <v>31</v>
      </c>
      <c r="G171" s="27" t="s">
        <v>161</v>
      </c>
      <c r="H171" s="28">
        <v>4.4560185185185189E-3</v>
      </c>
      <c r="I171" s="29" t="s">
        <v>27</v>
      </c>
      <c r="J171" s="41" t="s">
        <v>181</v>
      </c>
    </row>
    <row r="172" spans="1:10" ht="19" customHeight="1" x14ac:dyDescent="0.2">
      <c r="A172" s="4">
        <v>171</v>
      </c>
      <c r="B172" s="4"/>
      <c r="C172" s="4"/>
      <c r="D172" s="4">
        <v>1</v>
      </c>
      <c r="E172" s="27" t="s">
        <v>200</v>
      </c>
      <c r="F172" s="50" t="s">
        <v>31</v>
      </c>
      <c r="G172" s="27" t="s">
        <v>162</v>
      </c>
      <c r="H172" s="28">
        <v>1.9837962962962963E-2</v>
      </c>
      <c r="I172" s="29" t="s">
        <v>27</v>
      </c>
      <c r="J172" s="41" t="s">
        <v>181</v>
      </c>
    </row>
    <row r="173" spans="1:10" ht="19" customHeight="1" x14ac:dyDescent="0.2">
      <c r="A173" s="4">
        <v>172</v>
      </c>
      <c r="B173" s="4"/>
      <c r="C173" s="4"/>
      <c r="D173" s="4">
        <v>1</v>
      </c>
      <c r="E173" s="27" t="s">
        <v>200</v>
      </c>
      <c r="F173" s="50" t="s">
        <v>31</v>
      </c>
      <c r="G173" s="27" t="s">
        <v>186</v>
      </c>
      <c r="H173" s="28">
        <v>2.0833333333333332E-2</v>
      </c>
      <c r="I173" s="29" t="s">
        <v>27</v>
      </c>
      <c r="J173" s="41" t="s">
        <v>181</v>
      </c>
    </row>
    <row r="174" spans="1:10" ht="19" customHeight="1" x14ac:dyDescent="0.2">
      <c r="A174" s="4">
        <v>173</v>
      </c>
      <c r="B174" s="4"/>
      <c r="C174" s="4"/>
      <c r="D174" s="4">
        <v>1</v>
      </c>
      <c r="E174" s="27" t="s">
        <v>200</v>
      </c>
      <c r="F174" s="50" t="s">
        <v>31</v>
      </c>
      <c r="G174" s="27" t="s">
        <v>187</v>
      </c>
      <c r="H174" s="28">
        <v>8.6689814814814806E-3</v>
      </c>
      <c r="I174" s="29" t="s">
        <v>27</v>
      </c>
      <c r="J174" s="41" t="s">
        <v>181</v>
      </c>
    </row>
    <row r="175" spans="1:10" ht="19" customHeight="1" x14ac:dyDescent="0.2">
      <c r="A175" s="4">
        <v>174</v>
      </c>
      <c r="B175" s="4"/>
      <c r="C175" s="4"/>
      <c r="D175" s="4">
        <v>1</v>
      </c>
      <c r="E175" s="27" t="s">
        <v>200</v>
      </c>
      <c r="F175" s="50" t="s">
        <v>31</v>
      </c>
      <c r="G175" s="27" t="s">
        <v>163</v>
      </c>
      <c r="H175" s="28">
        <v>1.861111111111111E-2</v>
      </c>
      <c r="I175" s="29" t="s">
        <v>27</v>
      </c>
      <c r="J175" s="41" t="s">
        <v>181</v>
      </c>
    </row>
    <row r="176" spans="1:10" ht="19" customHeight="1" x14ac:dyDescent="0.2">
      <c r="A176" s="4">
        <v>175</v>
      </c>
      <c r="B176" s="4"/>
      <c r="C176" s="4"/>
      <c r="D176" s="4">
        <v>1</v>
      </c>
      <c r="E176" s="27" t="s">
        <v>200</v>
      </c>
      <c r="F176" s="50" t="s">
        <v>31</v>
      </c>
      <c r="G176" s="27" t="s">
        <v>164</v>
      </c>
      <c r="H176" s="28">
        <v>1.8703703703703705E-2</v>
      </c>
      <c r="I176" s="29" t="s">
        <v>27</v>
      </c>
      <c r="J176" s="41" t="s">
        <v>181</v>
      </c>
    </row>
    <row r="177" spans="1:10" ht="19" customHeight="1" x14ac:dyDescent="0.2">
      <c r="A177" s="4">
        <v>176</v>
      </c>
      <c r="B177" s="4"/>
      <c r="C177" s="4"/>
      <c r="D177" s="4">
        <v>1</v>
      </c>
      <c r="E177" s="27" t="s">
        <v>200</v>
      </c>
      <c r="F177" s="50" t="s">
        <v>31</v>
      </c>
      <c r="G177" s="27" t="s">
        <v>165</v>
      </c>
      <c r="H177" s="28">
        <v>2.7025462962962959E-2</v>
      </c>
      <c r="I177" s="29" t="s">
        <v>27</v>
      </c>
      <c r="J177" s="41" t="s">
        <v>181</v>
      </c>
    </row>
    <row r="178" spans="1:10" ht="19" customHeight="1" x14ac:dyDescent="0.2">
      <c r="A178" s="4">
        <v>177</v>
      </c>
      <c r="B178" s="4">
        <v>1</v>
      </c>
      <c r="C178" s="4">
        <v>1</v>
      </c>
      <c r="D178" s="4">
        <v>1</v>
      </c>
      <c r="E178" s="27" t="s">
        <v>201</v>
      </c>
      <c r="F178" s="50" t="s">
        <v>31</v>
      </c>
      <c r="G178" s="27" t="s">
        <v>166</v>
      </c>
      <c r="H178" s="28">
        <v>6.6435185185185182E-3</v>
      </c>
      <c r="I178" s="29" t="s">
        <v>27</v>
      </c>
      <c r="J178" s="41" t="s">
        <v>181</v>
      </c>
    </row>
    <row r="179" spans="1:10" ht="19" customHeight="1" x14ac:dyDescent="0.2">
      <c r="A179" s="4">
        <v>178</v>
      </c>
      <c r="B179" s="4">
        <v>1</v>
      </c>
      <c r="C179" s="4">
        <v>1</v>
      </c>
      <c r="D179" s="4">
        <v>1</v>
      </c>
      <c r="E179" s="27" t="s">
        <v>201</v>
      </c>
      <c r="F179" s="50" t="s">
        <v>31</v>
      </c>
      <c r="G179" s="27" t="s">
        <v>167</v>
      </c>
      <c r="H179" s="28">
        <v>2.4710648148148148E-2</v>
      </c>
      <c r="I179" s="29" t="s">
        <v>27</v>
      </c>
      <c r="J179" s="41" t="s">
        <v>181</v>
      </c>
    </row>
    <row r="180" spans="1:10" ht="19" customHeight="1" x14ac:dyDescent="0.2">
      <c r="A180" s="4">
        <v>179</v>
      </c>
      <c r="B180" s="4">
        <v>1</v>
      </c>
      <c r="C180" s="4">
        <v>1</v>
      </c>
      <c r="D180" s="4">
        <v>1</v>
      </c>
      <c r="E180" s="27" t="s">
        <v>201</v>
      </c>
      <c r="F180" s="50" t="s">
        <v>31</v>
      </c>
      <c r="G180" s="27" t="s">
        <v>168</v>
      </c>
      <c r="H180" s="28">
        <v>8.2638888888888883E-3</v>
      </c>
      <c r="I180" s="29" t="s">
        <v>27</v>
      </c>
      <c r="J180" s="41" t="s">
        <v>181</v>
      </c>
    </row>
    <row r="181" spans="1:10" ht="19" customHeight="1" x14ac:dyDescent="0.2">
      <c r="A181" s="4">
        <v>180</v>
      </c>
      <c r="B181" s="4">
        <v>1</v>
      </c>
      <c r="C181" s="4">
        <v>1</v>
      </c>
      <c r="D181" s="4">
        <v>1</v>
      </c>
      <c r="E181" s="27" t="s">
        <v>201</v>
      </c>
      <c r="F181" s="50" t="s">
        <v>31</v>
      </c>
      <c r="G181" s="27" t="s">
        <v>169</v>
      </c>
      <c r="H181" s="28">
        <v>1.2222222222222223E-2</v>
      </c>
      <c r="I181" s="29" t="s">
        <v>27</v>
      </c>
      <c r="J181" s="41" t="s">
        <v>181</v>
      </c>
    </row>
    <row r="182" spans="1:10" ht="19" customHeight="1" x14ac:dyDescent="0.2">
      <c r="A182" s="4">
        <v>181</v>
      </c>
      <c r="B182" s="4">
        <v>1</v>
      </c>
      <c r="C182" s="4">
        <v>1</v>
      </c>
      <c r="D182" s="4">
        <v>1</v>
      </c>
      <c r="E182" s="27" t="s">
        <v>201</v>
      </c>
      <c r="F182" s="50" t="s">
        <v>31</v>
      </c>
      <c r="G182" s="27" t="s">
        <v>170</v>
      </c>
      <c r="H182" s="28">
        <v>1.2962962962962963E-2</v>
      </c>
      <c r="I182" s="29" t="s">
        <v>27</v>
      </c>
      <c r="J182" s="41" t="s">
        <v>181</v>
      </c>
    </row>
    <row r="183" spans="1:10" ht="19" customHeight="1" x14ac:dyDescent="0.2">
      <c r="A183" s="4">
        <v>182</v>
      </c>
      <c r="B183" s="4">
        <v>1</v>
      </c>
      <c r="C183" s="4">
        <v>1</v>
      </c>
      <c r="D183" s="4">
        <v>1</v>
      </c>
      <c r="E183" s="27" t="s">
        <v>201</v>
      </c>
      <c r="F183" s="50" t="s">
        <v>31</v>
      </c>
      <c r="G183" s="27" t="s">
        <v>171</v>
      </c>
      <c r="H183" s="28">
        <v>1.3634259259259257E-2</v>
      </c>
      <c r="I183" s="29" t="s">
        <v>27</v>
      </c>
      <c r="J183" s="41" t="s">
        <v>181</v>
      </c>
    </row>
    <row r="184" spans="1:10" ht="19" customHeight="1" x14ac:dyDescent="0.2">
      <c r="A184" s="4">
        <v>183</v>
      </c>
      <c r="B184" s="4">
        <v>1</v>
      </c>
      <c r="C184" s="4">
        <v>1</v>
      </c>
      <c r="D184" s="4">
        <v>1</v>
      </c>
      <c r="E184" s="27" t="s">
        <v>201</v>
      </c>
      <c r="F184" s="50" t="s">
        <v>31</v>
      </c>
      <c r="G184" s="27" t="s">
        <v>172</v>
      </c>
      <c r="H184" s="28">
        <v>1.0578703703703703E-2</v>
      </c>
      <c r="I184" s="29" t="s">
        <v>27</v>
      </c>
      <c r="J184" s="41" t="s">
        <v>181</v>
      </c>
    </row>
    <row r="185" spans="1:10" ht="19" customHeight="1" x14ac:dyDescent="0.2">
      <c r="A185" s="4">
        <v>184</v>
      </c>
      <c r="B185" s="4">
        <v>1</v>
      </c>
      <c r="C185" s="4">
        <v>1</v>
      </c>
      <c r="D185" s="4">
        <v>1</v>
      </c>
      <c r="E185" s="27" t="s">
        <v>201</v>
      </c>
      <c r="F185" s="50" t="s">
        <v>31</v>
      </c>
      <c r="G185" s="27" t="s">
        <v>173</v>
      </c>
      <c r="H185" s="28">
        <v>9.3981481481481485E-3</v>
      </c>
      <c r="I185" s="29" t="s">
        <v>27</v>
      </c>
      <c r="J185" s="41" t="s">
        <v>181</v>
      </c>
    </row>
    <row r="186" spans="1:10" ht="19" customHeight="1" x14ac:dyDescent="0.2">
      <c r="A186" s="4">
        <v>185</v>
      </c>
      <c r="B186" s="4">
        <v>1</v>
      </c>
      <c r="C186" s="4">
        <v>1</v>
      </c>
      <c r="D186" s="4">
        <v>1</v>
      </c>
      <c r="E186" s="27" t="s">
        <v>201</v>
      </c>
      <c r="F186" s="50" t="s">
        <v>31</v>
      </c>
      <c r="G186" s="27" t="s">
        <v>174</v>
      </c>
      <c r="H186" s="28">
        <v>9.386574074074075E-3</v>
      </c>
      <c r="I186" s="29" t="s">
        <v>27</v>
      </c>
      <c r="J186" s="41" t="s">
        <v>181</v>
      </c>
    </row>
    <row r="187" spans="1:10" ht="19" customHeight="1" x14ac:dyDescent="0.2">
      <c r="A187" s="4">
        <v>186</v>
      </c>
      <c r="B187" s="4">
        <v>1</v>
      </c>
      <c r="C187" s="4">
        <v>1</v>
      </c>
      <c r="D187" s="4">
        <v>1</v>
      </c>
      <c r="E187" s="27" t="s">
        <v>202</v>
      </c>
      <c r="F187" s="50" t="s">
        <v>31</v>
      </c>
      <c r="G187" s="27" t="s">
        <v>175</v>
      </c>
      <c r="H187" s="28">
        <v>1.4363425925925925E-2</v>
      </c>
      <c r="I187" s="29" t="s">
        <v>27</v>
      </c>
      <c r="J187" s="41" t="s">
        <v>181</v>
      </c>
    </row>
    <row r="188" spans="1:10" ht="19" customHeight="1" x14ac:dyDescent="0.2">
      <c r="A188" s="4">
        <v>187</v>
      </c>
      <c r="B188" s="4">
        <v>1</v>
      </c>
      <c r="C188" s="4">
        <v>1</v>
      </c>
      <c r="D188" s="4">
        <v>1</v>
      </c>
      <c r="E188" s="27" t="s">
        <v>202</v>
      </c>
      <c r="F188" s="50" t="s">
        <v>31</v>
      </c>
      <c r="G188" s="27" t="s">
        <v>176</v>
      </c>
      <c r="H188" s="28">
        <v>1.1828703703703704E-2</v>
      </c>
      <c r="I188" s="29" t="s">
        <v>27</v>
      </c>
      <c r="J188" s="41" t="s">
        <v>181</v>
      </c>
    </row>
    <row r="189" spans="1:10" ht="19" customHeight="1" x14ac:dyDescent="0.2">
      <c r="A189" s="4">
        <v>188</v>
      </c>
      <c r="B189" s="4">
        <v>1</v>
      </c>
      <c r="C189" s="4">
        <v>1</v>
      </c>
      <c r="D189" s="4">
        <v>1</v>
      </c>
      <c r="E189" s="27" t="s">
        <v>202</v>
      </c>
      <c r="F189" s="50" t="s">
        <v>31</v>
      </c>
      <c r="G189" s="27" t="s">
        <v>339</v>
      </c>
      <c r="H189" s="28">
        <v>1.40625E-2</v>
      </c>
      <c r="I189" s="29" t="s">
        <v>27</v>
      </c>
      <c r="J189" s="41" t="s">
        <v>181</v>
      </c>
    </row>
    <row r="190" spans="1:10" ht="19" customHeight="1" x14ac:dyDescent="0.2">
      <c r="A190" s="4">
        <v>189</v>
      </c>
      <c r="B190" s="4">
        <v>1</v>
      </c>
      <c r="C190" s="4">
        <v>1</v>
      </c>
      <c r="D190" s="4">
        <v>1</v>
      </c>
      <c r="E190" s="27" t="s">
        <v>202</v>
      </c>
      <c r="F190" s="50" t="s">
        <v>31</v>
      </c>
      <c r="G190" s="27" t="s">
        <v>340</v>
      </c>
      <c r="H190" s="28">
        <v>9.5138888888888894E-3</v>
      </c>
      <c r="I190" s="29" t="s">
        <v>27</v>
      </c>
      <c r="J190" s="41" t="s">
        <v>181</v>
      </c>
    </row>
    <row r="191" spans="1:10" ht="24" x14ac:dyDescent="0.2">
      <c r="A191" s="4">
        <v>190</v>
      </c>
      <c r="D191" s="4">
        <v>1</v>
      </c>
      <c r="E191" s="49" t="s">
        <v>302</v>
      </c>
      <c r="F191" s="2" t="s">
        <v>31</v>
      </c>
      <c r="G191" s="46" t="s">
        <v>211</v>
      </c>
      <c r="H191" s="47">
        <v>1.2847222222222222E-2</v>
      </c>
      <c r="I191" s="48" t="s">
        <v>27</v>
      </c>
      <c r="J191" s="41" t="s">
        <v>181</v>
      </c>
    </row>
    <row r="192" spans="1:10" ht="24" x14ac:dyDescent="0.2">
      <c r="A192" s="4">
        <v>191</v>
      </c>
      <c r="D192" s="4">
        <v>1</v>
      </c>
      <c r="E192" s="49" t="s">
        <v>302</v>
      </c>
      <c r="F192" s="2" t="s">
        <v>31</v>
      </c>
      <c r="G192" s="46" t="s">
        <v>212</v>
      </c>
      <c r="H192" s="47">
        <v>9.8148148148148144E-3</v>
      </c>
      <c r="I192" s="48" t="s">
        <v>27</v>
      </c>
      <c r="J192" s="41" t="s">
        <v>181</v>
      </c>
    </row>
    <row r="193" spans="1:10" ht="24" x14ac:dyDescent="0.2">
      <c r="A193" s="4">
        <v>192</v>
      </c>
      <c r="D193" s="4">
        <v>1</v>
      </c>
      <c r="E193" s="49" t="s">
        <v>302</v>
      </c>
      <c r="F193" s="2" t="s">
        <v>31</v>
      </c>
      <c r="G193" s="46" t="s">
        <v>213</v>
      </c>
      <c r="H193" s="47">
        <v>5.5671296296296293E-3</v>
      </c>
      <c r="I193" s="48" t="s">
        <v>27</v>
      </c>
      <c r="J193" s="41" t="s">
        <v>181</v>
      </c>
    </row>
    <row r="194" spans="1:10" ht="24" x14ac:dyDescent="0.2">
      <c r="A194" s="4">
        <v>193</v>
      </c>
      <c r="D194" s="4">
        <v>1</v>
      </c>
      <c r="E194" s="49" t="s">
        <v>302</v>
      </c>
      <c r="F194" s="2" t="s">
        <v>31</v>
      </c>
      <c r="G194" s="46" t="s">
        <v>214</v>
      </c>
      <c r="H194" s="47">
        <v>6.4004629629629628E-3</v>
      </c>
      <c r="I194" s="48" t="s">
        <v>27</v>
      </c>
      <c r="J194" s="41" t="s">
        <v>181</v>
      </c>
    </row>
    <row r="195" spans="1:10" ht="24" x14ac:dyDescent="0.2">
      <c r="A195" s="4">
        <v>194</v>
      </c>
      <c r="D195" s="4">
        <v>1</v>
      </c>
      <c r="E195" s="49" t="s">
        <v>302</v>
      </c>
      <c r="F195" s="2" t="s">
        <v>31</v>
      </c>
      <c r="G195" s="46" t="s">
        <v>215</v>
      </c>
      <c r="H195" s="47">
        <v>8.1712962962962963E-3</v>
      </c>
      <c r="I195" s="48" t="s">
        <v>27</v>
      </c>
      <c r="J195" s="41" t="s">
        <v>181</v>
      </c>
    </row>
    <row r="196" spans="1:10" ht="24" x14ac:dyDescent="0.2">
      <c r="A196" s="4">
        <v>195</v>
      </c>
      <c r="D196" s="4">
        <v>1</v>
      </c>
      <c r="E196" s="49" t="s">
        <v>302</v>
      </c>
      <c r="F196" s="2" t="s">
        <v>31</v>
      </c>
      <c r="G196" s="46" t="s">
        <v>216</v>
      </c>
      <c r="H196" s="47">
        <v>1.0914351851851852E-2</v>
      </c>
      <c r="I196" s="48" t="s">
        <v>27</v>
      </c>
      <c r="J196" s="41" t="s">
        <v>181</v>
      </c>
    </row>
    <row r="197" spans="1:10" ht="24" x14ac:dyDescent="0.2">
      <c r="A197" s="4">
        <v>196</v>
      </c>
      <c r="D197" s="4">
        <v>1</v>
      </c>
      <c r="E197" s="49" t="s">
        <v>302</v>
      </c>
      <c r="F197" s="2" t="s">
        <v>31</v>
      </c>
      <c r="G197" s="46" t="s">
        <v>217</v>
      </c>
      <c r="H197" s="47">
        <v>1.0150462962962964E-2</v>
      </c>
      <c r="I197" s="48" t="s">
        <v>27</v>
      </c>
      <c r="J197" s="41" t="s">
        <v>181</v>
      </c>
    </row>
    <row r="198" spans="1:10" ht="24" x14ac:dyDescent="0.2">
      <c r="A198" s="4">
        <v>197</v>
      </c>
      <c r="D198" s="4">
        <v>1</v>
      </c>
      <c r="E198" s="49" t="s">
        <v>302</v>
      </c>
      <c r="F198" s="2" t="s">
        <v>31</v>
      </c>
      <c r="G198" s="46" t="s">
        <v>218</v>
      </c>
      <c r="H198" s="47">
        <v>9.0393518518518522E-3</v>
      </c>
      <c r="I198" s="48" t="s">
        <v>27</v>
      </c>
      <c r="J198" s="41" t="s">
        <v>181</v>
      </c>
    </row>
    <row r="199" spans="1:10" ht="24" x14ac:dyDescent="0.2">
      <c r="A199" s="4">
        <v>198</v>
      </c>
      <c r="D199" s="4">
        <v>1</v>
      </c>
      <c r="E199" s="49" t="s">
        <v>302</v>
      </c>
      <c r="F199" s="2" t="s">
        <v>31</v>
      </c>
      <c r="G199" s="46" t="s">
        <v>219</v>
      </c>
      <c r="H199" s="47">
        <v>7.5578703703703702E-3</v>
      </c>
      <c r="I199" s="48" t="s">
        <v>27</v>
      </c>
      <c r="J199" s="41" t="s">
        <v>181</v>
      </c>
    </row>
    <row r="200" spans="1:10" ht="24" x14ac:dyDescent="0.2">
      <c r="A200" s="4">
        <v>199</v>
      </c>
      <c r="D200" s="4">
        <v>1</v>
      </c>
      <c r="E200" s="49" t="s">
        <v>302</v>
      </c>
      <c r="F200" s="2" t="s">
        <v>31</v>
      </c>
      <c r="G200" s="46" t="s">
        <v>220</v>
      </c>
      <c r="H200" s="47">
        <v>2.5578703703703704E-2</v>
      </c>
      <c r="I200" s="48" t="s">
        <v>27</v>
      </c>
      <c r="J200" s="41" t="s">
        <v>181</v>
      </c>
    </row>
    <row r="201" spans="1:10" ht="24" x14ac:dyDescent="0.2">
      <c r="A201" s="4">
        <v>200</v>
      </c>
      <c r="D201" s="4">
        <v>1</v>
      </c>
      <c r="E201" s="49" t="s">
        <v>302</v>
      </c>
      <c r="F201" s="2" t="s">
        <v>31</v>
      </c>
      <c r="G201" s="46" t="s">
        <v>221</v>
      </c>
      <c r="H201" s="47">
        <v>2.0891203703703703E-2</v>
      </c>
      <c r="I201" s="48" t="s">
        <v>27</v>
      </c>
      <c r="J201" s="41" t="s">
        <v>181</v>
      </c>
    </row>
    <row r="202" spans="1:10" ht="24" x14ac:dyDescent="0.2">
      <c r="A202" s="4">
        <v>201</v>
      </c>
      <c r="D202" s="4">
        <v>1</v>
      </c>
      <c r="E202" s="49" t="s">
        <v>302</v>
      </c>
      <c r="F202" s="2" t="s">
        <v>31</v>
      </c>
      <c r="G202" s="46" t="s">
        <v>222</v>
      </c>
      <c r="H202" s="47">
        <v>1.0162037037037037E-2</v>
      </c>
      <c r="I202" s="48" t="s">
        <v>27</v>
      </c>
      <c r="J202" s="41" t="s">
        <v>181</v>
      </c>
    </row>
    <row r="203" spans="1:10" ht="24" x14ac:dyDescent="0.2">
      <c r="A203" s="4">
        <v>202</v>
      </c>
      <c r="D203" s="4">
        <v>1</v>
      </c>
      <c r="E203" s="49" t="s">
        <v>302</v>
      </c>
      <c r="F203" s="2" t="s">
        <v>31</v>
      </c>
      <c r="G203" s="46" t="s">
        <v>223</v>
      </c>
      <c r="H203" s="47">
        <v>1.7303240740740741E-2</v>
      </c>
      <c r="I203" s="48" t="s">
        <v>27</v>
      </c>
      <c r="J203" s="41" t="s">
        <v>181</v>
      </c>
    </row>
    <row r="204" spans="1:10" ht="24" x14ac:dyDescent="0.2">
      <c r="A204" s="4">
        <v>203</v>
      </c>
      <c r="D204" s="4">
        <v>1</v>
      </c>
      <c r="E204" s="49" t="s">
        <v>302</v>
      </c>
      <c r="F204" s="2" t="s">
        <v>31</v>
      </c>
      <c r="G204" s="46" t="s">
        <v>314</v>
      </c>
      <c r="H204" s="47">
        <v>1.3888888888888888E-2</v>
      </c>
      <c r="I204" s="48" t="s">
        <v>27</v>
      </c>
      <c r="J204" s="41" t="s">
        <v>181</v>
      </c>
    </row>
    <row r="205" spans="1:10" ht="24" x14ac:dyDescent="0.2">
      <c r="A205" s="4">
        <v>204</v>
      </c>
      <c r="D205" s="4">
        <v>1</v>
      </c>
      <c r="E205" s="49" t="s">
        <v>302</v>
      </c>
      <c r="F205" s="2" t="s">
        <v>31</v>
      </c>
      <c r="G205" s="46" t="s">
        <v>315</v>
      </c>
      <c r="H205" s="47">
        <v>1.3888888888888888E-2</v>
      </c>
      <c r="I205" s="48" t="s">
        <v>27</v>
      </c>
      <c r="J205" s="41" t="s">
        <v>181</v>
      </c>
    </row>
    <row r="206" spans="1:10" ht="24" x14ac:dyDescent="0.2">
      <c r="A206" s="4">
        <v>205</v>
      </c>
      <c r="D206" s="4">
        <v>1</v>
      </c>
      <c r="E206" s="49" t="s">
        <v>302</v>
      </c>
      <c r="F206" s="2" t="s">
        <v>31</v>
      </c>
      <c r="G206" s="46" t="s">
        <v>224</v>
      </c>
      <c r="H206" s="47">
        <v>2.3692129629629629E-2</v>
      </c>
      <c r="I206" s="48" t="s">
        <v>27</v>
      </c>
      <c r="J206" s="41" t="s">
        <v>181</v>
      </c>
    </row>
    <row r="207" spans="1:10" ht="24" x14ac:dyDescent="0.2">
      <c r="A207" s="4">
        <v>206</v>
      </c>
      <c r="D207" s="4">
        <v>1</v>
      </c>
      <c r="E207" s="49" t="s">
        <v>302</v>
      </c>
      <c r="F207" s="2" t="s">
        <v>31</v>
      </c>
      <c r="G207" s="46" t="s">
        <v>225</v>
      </c>
      <c r="H207" s="47">
        <v>2.5555555555555557E-2</v>
      </c>
      <c r="I207" s="48" t="s">
        <v>27</v>
      </c>
      <c r="J207" s="41" t="s">
        <v>181</v>
      </c>
    </row>
    <row r="208" spans="1:10" ht="24" x14ac:dyDescent="0.2">
      <c r="A208" s="4">
        <v>207</v>
      </c>
      <c r="D208" s="4">
        <v>1</v>
      </c>
      <c r="E208" s="49" t="s">
        <v>302</v>
      </c>
      <c r="F208" s="2" t="s">
        <v>31</v>
      </c>
      <c r="G208" s="46" t="s">
        <v>226</v>
      </c>
      <c r="H208" s="47">
        <v>1.8726851851851852E-2</v>
      </c>
      <c r="I208" s="48" t="s">
        <v>27</v>
      </c>
      <c r="J208" s="41" t="s">
        <v>181</v>
      </c>
    </row>
    <row r="209" spans="1:10" ht="24" x14ac:dyDescent="0.2">
      <c r="A209" s="4">
        <v>208</v>
      </c>
      <c r="D209" s="4">
        <v>1</v>
      </c>
      <c r="E209" s="49" t="s">
        <v>302</v>
      </c>
      <c r="F209" s="2" t="s">
        <v>31</v>
      </c>
      <c r="G209" s="46" t="s">
        <v>227</v>
      </c>
      <c r="H209" s="47">
        <v>8.2407407407407412E-3</v>
      </c>
      <c r="I209" s="48" t="s">
        <v>27</v>
      </c>
      <c r="J209" s="41" t="s">
        <v>181</v>
      </c>
    </row>
    <row r="210" spans="1:10" ht="24" x14ac:dyDescent="0.2">
      <c r="A210" s="4">
        <v>209</v>
      </c>
      <c r="D210" s="4">
        <v>1</v>
      </c>
      <c r="E210" s="49" t="s">
        <v>302</v>
      </c>
      <c r="F210" s="2" t="s">
        <v>31</v>
      </c>
      <c r="G210" s="46" t="s">
        <v>228</v>
      </c>
      <c r="H210" s="47">
        <v>1.7083333333333332E-2</v>
      </c>
      <c r="I210" s="48" t="s">
        <v>27</v>
      </c>
      <c r="J210" s="41" t="s">
        <v>181</v>
      </c>
    </row>
    <row r="211" spans="1:10" ht="24" x14ac:dyDescent="0.2">
      <c r="A211" s="4">
        <v>210</v>
      </c>
      <c r="D211" s="4">
        <v>1</v>
      </c>
      <c r="E211" s="49" t="s">
        <v>302</v>
      </c>
      <c r="F211" s="2" t="s">
        <v>31</v>
      </c>
      <c r="G211" s="46" t="s">
        <v>229</v>
      </c>
      <c r="H211" s="47">
        <v>1.0555555555555556E-2</v>
      </c>
      <c r="I211" s="48" t="s">
        <v>27</v>
      </c>
      <c r="J211" s="41" t="s">
        <v>181</v>
      </c>
    </row>
    <row r="212" spans="1:10" ht="24" x14ac:dyDescent="0.2">
      <c r="A212" s="4">
        <v>211</v>
      </c>
      <c r="D212" s="4">
        <v>1</v>
      </c>
      <c r="E212" s="49" t="s">
        <v>302</v>
      </c>
      <c r="F212" s="2" t="s">
        <v>31</v>
      </c>
      <c r="G212" s="46" t="s">
        <v>230</v>
      </c>
      <c r="H212" s="47">
        <v>1.2789351851851852E-2</v>
      </c>
      <c r="I212" s="48" t="s">
        <v>27</v>
      </c>
      <c r="J212" s="41" t="s">
        <v>181</v>
      </c>
    </row>
    <row r="213" spans="1:10" ht="24" x14ac:dyDescent="0.2">
      <c r="A213" s="4">
        <v>212</v>
      </c>
      <c r="D213" s="4">
        <v>1</v>
      </c>
      <c r="E213" s="49" t="s">
        <v>302</v>
      </c>
      <c r="F213" s="2" t="s">
        <v>31</v>
      </c>
      <c r="G213" s="46" t="s">
        <v>231</v>
      </c>
      <c r="H213" s="47">
        <v>2.1562499999999998E-2</v>
      </c>
      <c r="I213" s="48" t="s">
        <v>27</v>
      </c>
      <c r="J213" s="41" t="s">
        <v>181</v>
      </c>
    </row>
    <row r="214" spans="1:10" ht="24" x14ac:dyDescent="0.2">
      <c r="A214" s="4">
        <v>213</v>
      </c>
      <c r="D214" s="4">
        <v>1</v>
      </c>
      <c r="E214" s="49" t="s">
        <v>303</v>
      </c>
      <c r="F214" s="2" t="s">
        <v>31</v>
      </c>
      <c r="G214" s="46" t="s">
        <v>75</v>
      </c>
      <c r="H214" s="47">
        <v>1.3842592592592594E-2</v>
      </c>
      <c r="I214" s="48" t="s">
        <v>27</v>
      </c>
      <c r="J214" s="41" t="s">
        <v>181</v>
      </c>
    </row>
    <row r="215" spans="1:10" ht="24" x14ac:dyDescent="0.2">
      <c r="A215" s="4">
        <v>214</v>
      </c>
      <c r="D215" s="4">
        <v>1</v>
      </c>
      <c r="E215" s="49" t="s">
        <v>303</v>
      </c>
      <c r="F215" s="2" t="s">
        <v>31</v>
      </c>
      <c r="G215" s="46" t="s">
        <v>232</v>
      </c>
      <c r="H215" s="47">
        <v>1.6261574074074074E-2</v>
      </c>
      <c r="I215" s="48" t="s">
        <v>27</v>
      </c>
      <c r="J215" s="41" t="s">
        <v>181</v>
      </c>
    </row>
    <row r="216" spans="1:10" ht="24" x14ac:dyDescent="0.2">
      <c r="A216" s="4">
        <v>215</v>
      </c>
      <c r="D216" s="4">
        <v>1</v>
      </c>
      <c r="E216" s="49" t="s">
        <v>303</v>
      </c>
      <c r="F216" s="2" t="s">
        <v>31</v>
      </c>
      <c r="G216" s="46" t="s">
        <v>233</v>
      </c>
      <c r="H216" s="47">
        <v>9.2708333333333341E-3</v>
      </c>
      <c r="I216" s="48" t="s">
        <v>27</v>
      </c>
      <c r="J216" s="41" t="s">
        <v>181</v>
      </c>
    </row>
    <row r="217" spans="1:10" ht="24" x14ac:dyDescent="0.2">
      <c r="A217" s="4">
        <v>216</v>
      </c>
      <c r="D217" s="4">
        <v>1</v>
      </c>
      <c r="E217" s="49" t="s">
        <v>303</v>
      </c>
      <c r="F217" s="2" t="s">
        <v>30</v>
      </c>
      <c r="G217" s="46" t="s">
        <v>234</v>
      </c>
      <c r="H217" s="47">
        <v>2.0833333333333332E-2</v>
      </c>
      <c r="I217" s="48" t="s">
        <v>27</v>
      </c>
      <c r="J217" s="41" t="s">
        <v>181</v>
      </c>
    </row>
    <row r="218" spans="1:10" ht="24" x14ac:dyDescent="0.2">
      <c r="A218" s="4">
        <v>217</v>
      </c>
      <c r="D218" s="4">
        <v>1</v>
      </c>
      <c r="E218" s="49" t="s">
        <v>303</v>
      </c>
      <c r="F218" s="2" t="s">
        <v>31</v>
      </c>
      <c r="G218" s="46" t="s">
        <v>235</v>
      </c>
      <c r="H218" s="47">
        <v>1.6597222222222222E-2</v>
      </c>
      <c r="I218" s="48" t="s">
        <v>27</v>
      </c>
      <c r="J218" s="41" t="s">
        <v>181</v>
      </c>
    </row>
    <row r="219" spans="1:10" ht="24" x14ac:dyDescent="0.2">
      <c r="A219" s="4">
        <v>218</v>
      </c>
      <c r="D219" s="4">
        <v>1</v>
      </c>
      <c r="E219" s="49" t="s">
        <v>303</v>
      </c>
      <c r="F219" s="2" t="s">
        <v>30</v>
      </c>
      <c r="G219" s="46" t="s">
        <v>236</v>
      </c>
      <c r="H219" s="47">
        <v>2.0833333333333332E-2</v>
      </c>
      <c r="I219" s="48" t="s">
        <v>27</v>
      </c>
      <c r="J219" s="41" t="s">
        <v>181</v>
      </c>
    </row>
    <row r="220" spans="1:10" ht="24" x14ac:dyDescent="0.2">
      <c r="A220" s="4">
        <v>219</v>
      </c>
      <c r="D220" s="4">
        <v>1</v>
      </c>
      <c r="E220" s="49" t="s">
        <v>303</v>
      </c>
      <c r="F220" s="2" t="s">
        <v>31</v>
      </c>
      <c r="G220" s="46" t="s">
        <v>237</v>
      </c>
      <c r="H220" s="47">
        <v>2.3472222222222221E-2</v>
      </c>
      <c r="I220" s="48" t="s">
        <v>27</v>
      </c>
      <c r="J220" s="41" t="s">
        <v>181</v>
      </c>
    </row>
    <row r="221" spans="1:10" ht="24" x14ac:dyDescent="0.2">
      <c r="A221" s="4">
        <v>220</v>
      </c>
      <c r="D221" s="4">
        <v>1</v>
      </c>
      <c r="E221" s="49" t="s">
        <v>303</v>
      </c>
      <c r="F221" s="2" t="s">
        <v>30</v>
      </c>
      <c r="G221" s="46" t="s">
        <v>238</v>
      </c>
      <c r="H221" s="47">
        <v>2.0833333333333332E-2</v>
      </c>
      <c r="I221" s="48" t="s">
        <v>27</v>
      </c>
      <c r="J221" s="41" t="s">
        <v>181</v>
      </c>
    </row>
    <row r="222" spans="1:10" ht="24" x14ac:dyDescent="0.2">
      <c r="A222" s="4">
        <v>221</v>
      </c>
      <c r="D222" s="4">
        <v>1</v>
      </c>
      <c r="E222" s="49" t="s">
        <v>303</v>
      </c>
      <c r="F222" s="2" t="s">
        <v>31</v>
      </c>
      <c r="G222" s="46" t="s">
        <v>239</v>
      </c>
      <c r="H222" s="47">
        <v>5.9606481481481481E-3</v>
      </c>
      <c r="I222" s="48" t="s">
        <v>27</v>
      </c>
      <c r="J222" s="41" t="s">
        <v>181</v>
      </c>
    </row>
    <row r="223" spans="1:10" ht="24" x14ac:dyDescent="0.2">
      <c r="A223" s="4">
        <v>222</v>
      </c>
      <c r="D223" s="4">
        <v>1</v>
      </c>
      <c r="E223" s="49" t="s">
        <v>303</v>
      </c>
      <c r="F223" s="2" t="s">
        <v>31</v>
      </c>
      <c r="G223" s="46" t="s">
        <v>240</v>
      </c>
      <c r="H223" s="47">
        <v>9.7222222222222224E-3</v>
      </c>
      <c r="I223" s="48" t="s">
        <v>27</v>
      </c>
      <c r="J223" s="41" t="s">
        <v>181</v>
      </c>
    </row>
    <row r="224" spans="1:10" ht="24" x14ac:dyDescent="0.2">
      <c r="A224" s="4">
        <v>223</v>
      </c>
      <c r="D224" s="4">
        <v>1</v>
      </c>
      <c r="E224" s="49" t="s">
        <v>303</v>
      </c>
      <c r="F224" s="2" t="s">
        <v>31</v>
      </c>
      <c r="G224" s="46" t="s">
        <v>241</v>
      </c>
      <c r="H224" s="47">
        <v>6.2500000000000003E-3</v>
      </c>
      <c r="I224" s="48" t="s">
        <v>27</v>
      </c>
      <c r="J224" s="41" t="s">
        <v>181</v>
      </c>
    </row>
    <row r="225" spans="1:10" ht="24" x14ac:dyDescent="0.2">
      <c r="A225" s="4">
        <v>224</v>
      </c>
      <c r="D225" s="4">
        <v>1</v>
      </c>
      <c r="E225" s="49" t="s">
        <v>304</v>
      </c>
      <c r="F225" s="2" t="s">
        <v>31</v>
      </c>
      <c r="G225" s="46" t="s">
        <v>242</v>
      </c>
      <c r="H225" s="47">
        <v>8.9120370370370378E-3</v>
      </c>
      <c r="I225" s="48" t="s">
        <v>27</v>
      </c>
      <c r="J225" s="41" t="s">
        <v>181</v>
      </c>
    </row>
    <row r="226" spans="1:10" ht="24" x14ac:dyDescent="0.2">
      <c r="A226" s="4">
        <v>225</v>
      </c>
      <c r="D226" s="4">
        <v>1</v>
      </c>
      <c r="E226" s="49" t="s">
        <v>304</v>
      </c>
      <c r="F226" s="2" t="s">
        <v>31</v>
      </c>
      <c r="G226" s="46" t="s">
        <v>243</v>
      </c>
      <c r="H226" s="47">
        <v>5.5555555555555558E-3</v>
      </c>
      <c r="I226" s="48" t="s">
        <v>27</v>
      </c>
      <c r="J226" s="41" t="s">
        <v>181</v>
      </c>
    </row>
    <row r="227" spans="1:10" ht="24" x14ac:dyDescent="0.2">
      <c r="A227" s="4">
        <v>226</v>
      </c>
      <c r="D227" s="4">
        <v>1</v>
      </c>
      <c r="E227" s="49" t="s">
        <v>304</v>
      </c>
      <c r="F227" s="2" t="s">
        <v>31</v>
      </c>
      <c r="G227" s="46" t="s">
        <v>244</v>
      </c>
      <c r="H227" s="47">
        <v>5.3356481481481484E-3</v>
      </c>
      <c r="I227" s="48" t="s">
        <v>27</v>
      </c>
      <c r="J227" s="41" t="s">
        <v>181</v>
      </c>
    </row>
    <row r="228" spans="1:10" ht="24" x14ac:dyDescent="0.2">
      <c r="A228" s="4">
        <v>227</v>
      </c>
      <c r="D228" s="4">
        <v>1</v>
      </c>
      <c r="E228" s="49" t="s">
        <v>304</v>
      </c>
      <c r="F228" s="2" t="s">
        <v>31</v>
      </c>
      <c r="G228" s="46" t="s">
        <v>245</v>
      </c>
      <c r="H228" s="47">
        <v>1.0185185185185186E-2</v>
      </c>
      <c r="I228" s="48" t="s">
        <v>27</v>
      </c>
      <c r="J228" s="41" t="s">
        <v>181</v>
      </c>
    </row>
    <row r="229" spans="1:10" ht="24" x14ac:dyDescent="0.2">
      <c r="A229" s="4">
        <v>228</v>
      </c>
      <c r="D229" s="4">
        <v>1</v>
      </c>
      <c r="E229" s="49" t="s">
        <v>304</v>
      </c>
      <c r="F229" s="2" t="s">
        <v>31</v>
      </c>
      <c r="G229" s="46" t="s">
        <v>316</v>
      </c>
      <c r="H229" s="47">
        <v>1.4583333333333332E-2</v>
      </c>
      <c r="I229" s="48" t="s">
        <v>27</v>
      </c>
      <c r="J229" s="41" t="s">
        <v>181</v>
      </c>
    </row>
    <row r="230" spans="1:10" ht="24" x14ac:dyDescent="0.2">
      <c r="A230" s="4">
        <v>229</v>
      </c>
      <c r="D230" s="4">
        <v>1</v>
      </c>
      <c r="E230" s="49" t="s">
        <v>304</v>
      </c>
      <c r="F230" s="2" t="s">
        <v>31</v>
      </c>
      <c r="G230" s="46" t="s">
        <v>317</v>
      </c>
      <c r="H230" s="47">
        <v>1.4583333333333332E-2</v>
      </c>
      <c r="I230" s="48" t="s">
        <v>27</v>
      </c>
      <c r="J230" s="41" t="s">
        <v>181</v>
      </c>
    </row>
    <row r="231" spans="1:10" ht="24" x14ac:dyDescent="0.2">
      <c r="A231" s="4">
        <v>230</v>
      </c>
      <c r="D231" s="4">
        <v>1</v>
      </c>
      <c r="E231" s="49" t="s">
        <v>305</v>
      </c>
      <c r="F231" s="2" t="s">
        <v>31</v>
      </c>
      <c r="G231" s="46" t="s">
        <v>75</v>
      </c>
      <c r="H231" s="47">
        <v>1.4965277777777779E-2</v>
      </c>
      <c r="I231" s="48" t="s">
        <v>27</v>
      </c>
      <c r="J231" s="41" t="s">
        <v>181</v>
      </c>
    </row>
    <row r="232" spans="1:10" ht="24" x14ac:dyDescent="0.2">
      <c r="A232" s="4">
        <v>231</v>
      </c>
      <c r="D232" s="4">
        <v>1</v>
      </c>
      <c r="E232" s="49" t="s">
        <v>305</v>
      </c>
      <c r="F232" s="2" t="s">
        <v>31</v>
      </c>
      <c r="G232" s="46" t="s">
        <v>246</v>
      </c>
      <c r="H232" s="47">
        <v>1.2326388888888888E-2</v>
      </c>
      <c r="I232" s="48" t="s">
        <v>27</v>
      </c>
      <c r="J232" s="41" t="s">
        <v>181</v>
      </c>
    </row>
    <row r="233" spans="1:10" ht="24" x14ac:dyDescent="0.2">
      <c r="A233" s="4">
        <v>232</v>
      </c>
      <c r="D233" s="4">
        <v>1</v>
      </c>
      <c r="E233" s="49" t="s">
        <v>305</v>
      </c>
      <c r="F233" s="2" t="s">
        <v>31</v>
      </c>
      <c r="G233" s="46" t="s">
        <v>247</v>
      </c>
      <c r="H233" s="47">
        <v>1.5370370370370371E-2</v>
      </c>
      <c r="I233" s="48" t="s">
        <v>27</v>
      </c>
      <c r="J233" s="41" t="s">
        <v>181</v>
      </c>
    </row>
    <row r="234" spans="1:10" ht="24" x14ac:dyDescent="0.2">
      <c r="A234" s="4">
        <v>233</v>
      </c>
      <c r="D234" s="4">
        <v>1</v>
      </c>
      <c r="E234" s="49" t="s">
        <v>305</v>
      </c>
      <c r="F234" s="2" t="s">
        <v>30</v>
      </c>
      <c r="G234" s="46" t="s">
        <v>248</v>
      </c>
      <c r="H234" s="47">
        <v>2.0833333333333332E-2</v>
      </c>
      <c r="I234" s="48" t="s">
        <v>27</v>
      </c>
      <c r="J234" s="41" t="s">
        <v>181</v>
      </c>
    </row>
    <row r="235" spans="1:10" ht="24" x14ac:dyDescent="0.2">
      <c r="A235" s="4">
        <v>234</v>
      </c>
      <c r="D235" s="4">
        <v>1</v>
      </c>
      <c r="E235" s="49" t="s">
        <v>305</v>
      </c>
      <c r="F235" s="2" t="s">
        <v>31</v>
      </c>
      <c r="G235" s="46" t="s">
        <v>249</v>
      </c>
      <c r="H235" s="47">
        <v>2.0717592592592593E-2</v>
      </c>
      <c r="I235" s="48" t="s">
        <v>27</v>
      </c>
      <c r="J235" s="41" t="s">
        <v>181</v>
      </c>
    </row>
    <row r="236" spans="1:10" ht="24" x14ac:dyDescent="0.2">
      <c r="A236" s="4">
        <v>235</v>
      </c>
      <c r="D236" s="4">
        <v>1</v>
      </c>
      <c r="E236" s="49" t="s">
        <v>305</v>
      </c>
      <c r="F236" s="2" t="s">
        <v>30</v>
      </c>
      <c r="G236" s="46" t="s">
        <v>250</v>
      </c>
      <c r="H236" s="47">
        <v>2.0833333333333332E-2</v>
      </c>
      <c r="I236" s="48" t="s">
        <v>27</v>
      </c>
      <c r="J236" s="41" t="s">
        <v>181</v>
      </c>
    </row>
    <row r="237" spans="1:10" ht="24" x14ac:dyDescent="0.2">
      <c r="A237" s="4">
        <v>236</v>
      </c>
      <c r="D237" s="4">
        <v>1</v>
      </c>
      <c r="E237" s="49" t="s">
        <v>305</v>
      </c>
      <c r="F237" s="2" t="s">
        <v>31</v>
      </c>
      <c r="G237" s="46" t="s">
        <v>251</v>
      </c>
      <c r="H237" s="47">
        <v>2.1064814814814814E-2</v>
      </c>
      <c r="I237" s="48" t="s">
        <v>27</v>
      </c>
      <c r="J237" s="41" t="s">
        <v>181</v>
      </c>
    </row>
    <row r="238" spans="1:10" ht="24" x14ac:dyDescent="0.2">
      <c r="A238" s="4">
        <v>237</v>
      </c>
      <c r="D238" s="4">
        <v>1</v>
      </c>
      <c r="E238" s="49" t="s">
        <v>305</v>
      </c>
      <c r="F238" s="2" t="s">
        <v>30</v>
      </c>
      <c r="G238" s="46" t="s">
        <v>252</v>
      </c>
      <c r="H238" s="47">
        <v>2.0833333333333332E-2</v>
      </c>
      <c r="I238" s="48" t="s">
        <v>27</v>
      </c>
      <c r="J238" s="41" t="s">
        <v>181</v>
      </c>
    </row>
    <row r="239" spans="1:10" ht="24" x14ac:dyDescent="0.2">
      <c r="A239" s="4">
        <v>238</v>
      </c>
      <c r="D239" s="4">
        <v>1</v>
      </c>
      <c r="E239" s="49" t="s">
        <v>305</v>
      </c>
      <c r="F239" s="2" t="s">
        <v>31</v>
      </c>
      <c r="G239" s="46" t="s">
        <v>253</v>
      </c>
      <c r="H239" s="47">
        <v>1.8819444444444444E-2</v>
      </c>
      <c r="I239" s="48" t="s">
        <v>27</v>
      </c>
      <c r="J239" s="41" t="s">
        <v>181</v>
      </c>
    </row>
    <row r="240" spans="1:10" ht="24" x14ac:dyDescent="0.2">
      <c r="A240" s="4">
        <v>239</v>
      </c>
      <c r="D240" s="4">
        <v>1</v>
      </c>
      <c r="E240" s="49" t="s">
        <v>305</v>
      </c>
      <c r="F240" s="2" t="s">
        <v>31</v>
      </c>
      <c r="G240" s="46" t="s">
        <v>254</v>
      </c>
      <c r="H240" s="47">
        <v>8.5995370370370375E-3</v>
      </c>
      <c r="I240" s="48" t="s">
        <v>27</v>
      </c>
      <c r="J240" s="41" t="s">
        <v>181</v>
      </c>
    </row>
    <row r="241" spans="1:10" ht="24" x14ac:dyDescent="0.2">
      <c r="A241" s="4">
        <v>240</v>
      </c>
      <c r="D241" s="4">
        <v>1</v>
      </c>
      <c r="E241" s="49" t="s">
        <v>305</v>
      </c>
      <c r="F241" s="2" t="s">
        <v>31</v>
      </c>
      <c r="G241" s="46" t="s">
        <v>252</v>
      </c>
      <c r="H241" s="47">
        <v>2.4664351851851851E-2</v>
      </c>
      <c r="I241" s="48" t="s">
        <v>27</v>
      </c>
      <c r="J241" s="41" t="s">
        <v>181</v>
      </c>
    </row>
    <row r="242" spans="1:10" ht="24" x14ac:dyDescent="0.2">
      <c r="A242" s="4">
        <v>241</v>
      </c>
      <c r="D242" s="4">
        <v>1</v>
      </c>
      <c r="E242" s="49" t="s">
        <v>306</v>
      </c>
      <c r="F242" s="2" t="s">
        <v>31</v>
      </c>
      <c r="G242" s="46" t="s">
        <v>75</v>
      </c>
      <c r="H242" s="47">
        <v>1.6701388888888887E-2</v>
      </c>
      <c r="I242" s="48" t="s">
        <v>27</v>
      </c>
      <c r="J242" s="41" t="s">
        <v>181</v>
      </c>
    </row>
    <row r="243" spans="1:10" ht="24" x14ac:dyDescent="0.2">
      <c r="A243" s="4">
        <v>242</v>
      </c>
      <c r="D243" s="4">
        <v>1</v>
      </c>
      <c r="E243" s="49" t="s">
        <v>306</v>
      </c>
      <c r="F243" s="2" t="s">
        <v>30</v>
      </c>
      <c r="G243" s="46" t="s">
        <v>255</v>
      </c>
      <c r="H243" s="47">
        <v>2.0833333333333332E-2</v>
      </c>
      <c r="I243" s="48" t="s">
        <v>27</v>
      </c>
      <c r="J243" s="41" t="s">
        <v>181</v>
      </c>
    </row>
    <row r="244" spans="1:10" ht="24" x14ac:dyDescent="0.2">
      <c r="A244" s="4">
        <v>243</v>
      </c>
      <c r="D244" s="4">
        <v>1</v>
      </c>
      <c r="E244" s="49" t="s">
        <v>306</v>
      </c>
      <c r="F244" s="2" t="s">
        <v>31</v>
      </c>
      <c r="G244" s="46" t="s">
        <v>256</v>
      </c>
      <c r="H244" s="47">
        <v>1.3877314814814815E-2</v>
      </c>
      <c r="I244" s="48" t="s">
        <v>27</v>
      </c>
      <c r="J244" s="41" t="s">
        <v>181</v>
      </c>
    </row>
    <row r="245" spans="1:10" ht="24" x14ac:dyDescent="0.2">
      <c r="A245" s="4">
        <v>244</v>
      </c>
      <c r="D245" s="4">
        <v>1</v>
      </c>
      <c r="E245" s="49" t="s">
        <v>306</v>
      </c>
      <c r="F245" s="2" t="s">
        <v>30</v>
      </c>
      <c r="G245" s="46" t="s">
        <v>257</v>
      </c>
      <c r="H245" s="47">
        <v>2.0833333333333332E-2</v>
      </c>
      <c r="I245" s="48" t="s">
        <v>27</v>
      </c>
      <c r="J245" s="41" t="s">
        <v>181</v>
      </c>
    </row>
    <row r="246" spans="1:10" ht="24" x14ac:dyDescent="0.2">
      <c r="A246" s="4">
        <v>245</v>
      </c>
      <c r="D246" s="4">
        <v>1</v>
      </c>
      <c r="E246" s="49" t="s">
        <v>306</v>
      </c>
      <c r="F246" s="2" t="s">
        <v>31</v>
      </c>
      <c r="G246" s="46" t="s">
        <v>258</v>
      </c>
      <c r="H246" s="47">
        <v>8.611111111111111E-3</v>
      </c>
      <c r="I246" s="48" t="s">
        <v>27</v>
      </c>
      <c r="J246" s="41" t="s">
        <v>181</v>
      </c>
    </row>
    <row r="247" spans="1:10" ht="24" x14ac:dyDescent="0.2">
      <c r="A247" s="4">
        <v>246</v>
      </c>
      <c r="D247" s="4">
        <v>1</v>
      </c>
      <c r="E247" s="49" t="s">
        <v>306</v>
      </c>
      <c r="F247" s="2" t="s">
        <v>31</v>
      </c>
      <c r="G247" s="46" t="s">
        <v>259</v>
      </c>
      <c r="H247" s="47">
        <v>1.2511574074074074E-2</v>
      </c>
      <c r="I247" s="48" t="s">
        <v>27</v>
      </c>
      <c r="J247" s="41" t="s">
        <v>181</v>
      </c>
    </row>
    <row r="248" spans="1:10" ht="24" x14ac:dyDescent="0.2">
      <c r="A248" s="4">
        <v>247</v>
      </c>
      <c r="D248" s="4">
        <v>1</v>
      </c>
      <c r="E248" s="49" t="s">
        <v>306</v>
      </c>
      <c r="F248" s="2" t="s">
        <v>30</v>
      </c>
      <c r="G248" s="46" t="s">
        <v>260</v>
      </c>
      <c r="H248" s="47">
        <v>2.0833333333333332E-2</v>
      </c>
      <c r="I248" s="48" t="s">
        <v>27</v>
      </c>
      <c r="J248" s="41" t="s">
        <v>181</v>
      </c>
    </row>
    <row r="249" spans="1:10" ht="24" x14ac:dyDescent="0.2">
      <c r="A249" s="4">
        <v>248</v>
      </c>
      <c r="D249" s="4">
        <v>1</v>
      </c>
      <c r="E249" s="49" t="s">
        <v>306</v>
      </c>
      <c r="F249" s="2" t="s">
        <v>31</v>
      </c>
      <c r="G249" s="46" t="s">
        <v>261</v>
      </c>
      <c r="H249" s="47">
        <v>9.6412037037037039E-3</v>
      </c>
      <c r="I249" s="48" t="s">
        <v>27</v>
      </c>
      <c r="J249" s="41" t="s">
        <v>181</v>
      </c>
    </row>
    <row r="250" spans="1:10" ht="24" x14ac:dyDescent="0.2">
      <c r="A250" s="4">
        <v>249</v>
      </c>
      <c r="D250" s="4">
        <v>1</v>
      </c>
      <c r="E250" s="49" t="s">
        <v>306</v>
      </c>
      <c r="F250" s="2" t="s">
        <v>31</v>
      </c>
      <c r="G250" s="46" t="s">
        <v>262</v>
      </c>
      <c r="H250" s="47">
        <v>1.0937499999999999E-2</v>
      </c>
      <c r="I250" s="48" t="s">
        <v>27</v>
      </c>
      <c r="J250" s="41" t="s">
        <v>181</v>
      </c>
    </row>
    <row r="251" spans="1:10" ht="24" x14ac:dyDescent="0.2">
      <c r="A251" s="4">
        <v>250</v>
      </c>
      <c r="D251" s="4">
        <v>1</v>
      </c>
      <c r="E251" s="49" t="s">
        <v>306</v>
      </c>
      <c r="F251" s="2" t="s">
        <v>31</v>
      </c>
      <c r="G251" s="46" t="s">
        <v>263</v>
      </c>
      <c r="H251" s="47">
        <v>1.3032407407407407E-2</v>
      </c>
      <c r="I251" s="48" t="s">
        <v>27</v>
      </c>
      <c r="J251" s="41" t="s">
        <v>181</v>
      </c>
    </row>
    <row r="252" spans="1:10" ht="24" x14ac:dyDescent="0.2">
      <c r="A252" s="4">
        <v>251</v>
      </c>
      <c r="D252" s="4">
        <v>1</v>
      </c>
      <c r="E252" s="49" t="s">
        <v>307</v>
      </c>
      <c r="F252" s="2" t="s">
        <v>31</v>
      </c>
      <c r="G252" s="46" t="s">
        <v>264</v>
      </c>
      <c r="H252" s="47">
        <v>7.9861111111111105E-3</v>
      </c>
      <c r="I252" s="48" t="s">
        <v>27</v>
      </c>
      <c r="J252" s="41" t="s">
        <v>181</v>
      </c>
    </row>
    <row r="253" spans="1:10" ht="24" x14ac:dyDescent="0.2">
      <c r="A253" s="4">
        <v>252</v>
      </c>
      <c r="D253" s="4">
        <v>1</v>
      </c>
      <c r="E253" s="49" t="s">
        <v>307</v>
      </c>
      <c r="F253" s="2" t="s">
        <v>31</v>
      </c>
      <c r="G253" s="46" t="s">
        <v>265</v>
      </c>
      <c r="H253" s="47">
        <v>2.3043981481481481E-2</v>
      </c>
      <c r="I253" s="48" t="s">
        <v>27</v>
      </c>
      <c r="J253" s="41" t="s">
        <v>181</v>
      </c>
    </row>
    <row r="254" spans="1:10" ht="24" x14ac:dyDescent="0.2">
      <c r="A254" s="4">
        <v>253</v>
      </c>
      <c r="D254" s="4">
        <v>1</v>
      </c>
      <c r="E254" s="49" t="s">
        <v>307</v>
      </c>
      <c r="F254" s="2" t="s">
        <v>31</v>
      </c>
      <c r="G254" s="46" t="s">
        <v>266</v>
      </c>
      <c r="H254" s="47">
        <v>1.0358796296296297E-2</v>
      </c>
      <c r="I254" s="48" t="s">
        <v>27</v>
      </c>
      <c r="J254" s="41" t="s">
        <v>181</v>
      </c>
    </row>
    <row r="255" spans="1:10" ht="24" x14ac:dyDescent="0.2">
      <c r="A255" s="4">
        <v>254</v>
      </c>
      <c r="D255" s="4">
        <v>1</v>
      </c>
      <c r="E255" s="49" t="s">
        <v>308</v>
      </c>
      <c r="F255" s="2" t="s">
        <v>31</v>
      </c>
      <c r="G255" s="46" t="s">
        <v>267</v>
      </c>
      <c r="H255" s="47">
        <v>1.0208333333333333E-2</v>
      </c>
      <c r="I255" s="48" t="s">
        <v>27</v>
      </c>
      <c r="J255" s="41" t="s">
        <v>181</v>
      </c>
    </row>
    <row r="256" spans="1:10" ht="24" x14ac:dyDescent="0.2">
      <c r="A256" s="4">
        <v>255</v>
      </c>
      <c r="D256" s="4">
        <v>1</v>
      </c>
      <c r="E256" s="49" t="s">
        <v>308</v>
      </c>
      <c r="F256" s="2" t="s">
        <v>31</v>
      </c>
      <c r="G256" s="46" t="s">
        <v>268</v>
      </c>
      <c r="H256" s="47">
        <v>1.0648148148148148E-2</v>
      </c>
      <c r="I256" s="48" t="s">
        <v>27</v>
      </c>
      <c r="J256" s="41" t="s">
        <v>181</v>
      </c>
    </row>
    <row r="257" spans="1:10" ht="24" x14ac:dyDescent="0.2">
      <c r="A257" s="4">
        <v>256</v>
      </c>
      <c r="D257" s="4">
        <v>1</v>
      </c>
      <c r="E257" s="49" t="s">
        <v>308</v>
      </c>
      <c r="F257" s="2" t="s">
        <v>31</v>
      </c>
      <c r="G257" s="46" t="s">
        <v>269</v>
      </c>
      <c r="H257" s="47">
        <v>1.0868055555555556E-2</v>
      </c>
      <c r="I257" s="48" t="s">
        <v>27</v>
      </c>
      <c r="J257" s="41" t="s">
        <v>181</v>
      </c>
    </row>
    <row r="258" spans="1:10" ht="24" x14ac:dyDescent="0.2">
      <c r="A258" s="4">
        <v>257</v>
      </c>
      <c r="D258" s="4">
        <v>1</v>
      </c>
      <c r="E258" s="49" t="s">
        <v>308</v>
      </c>
      <c r="F258" s="2" t="s">
        <v>31</v>
      </c>
      <c r="G258" s="46" t="s">
        <v>270</v>
      </c>
      <c r="H258" s="47">
        <v>1.1400462962962963E-2</v>
      </c>
      <c r="I258" s="48" t="s">
        <v>27</v>
      </c>
      <c r="J258" s="41" t="s">
        <v>181</v>
      </c>
    </row>
    <row r="259" spans="1:10" ht="24" x14ac:dyDescent="0.2">
      <c r="A259" s="4">
        <v>258</v>
      </c>
      <c r="D259" s="4">
        <v>1</v>
      </c>
      <c r="E259" s="49" t="s">
        <v>308</v>
      </c>
      <c r="F259" s="2" t="s">
        <v>31</v>
      </c>
      <c r="G259" s="46" t="s">
        <v>271</v>
      </c>
      <c r="H259" s="47">
        <v>2.8240740740740739E-3</v>
      </c>
      <c r="I259" s="48" t="s">
        <v>27</v>
      </c>
      <c r="J259" s="41" t="s">
        <v>181</v>
      </c>
    </row>
    <row r="260" spans="1:10" ht="24" x14ac:dyDescent="0.2">
      <c r="A260" s="4">
        <v>259</v>
      </c>
      <c r="D260" s="4">
        <v>1</v>
      </c>
      <c r="E260" s="49" t="s">
        <v>311</v>
      </c>
      <c r="F260" s="2" t="s">
        <v>31</v>
      </c>
      <c r="G260" s="46" t="s">
        <v>272</v>
      </c>
      <c r="H260" s="47">
        <v>5.7754629629629631E-3</v>
      </c>
      <c r="I260" s="48" t="s">
        <v>27</v>
      </c>
      <c r="J260" s="41" t="s">
        <v>181</v>
      </c>
    </row>
    <row r="261" spans="1:10" ht="24" x14ac:dyDescent="0.2">
      <c r="A261" s="4">
        <v>260</v>
      </c>
      <c r="D261" s="4">
        <v>1</v>
      </c>
      <c r="E261" s="49" t="s">
        <v>311</v>
      </c>
      <c r="F261" s="2" t="s">
        <v>31</v>
      </c>
      <c r="G261" s="46" t="s">
        <v>273</v>
      </c>
      <c r="H261" s="47">
        <v>1.1805555555555555E-2</v>
      </c>
      <c r="I261" s="48" t="s">
        <v>27</v>
      </c>
      <c r="J261" s="41" t="s">
        <v>181</v>
      </c>
    </row>
    <row r="262" spans="1:10" ht="24" x14ac:dyDescent="0.2">
      <c r="A262" s="4">
        <v>261</v>
      </c>
      <c r="D262" s="4">
        <v>1</v>
      </c>
      <c r="E262" s="49" t="s">
        <v>311</v>
      </c>
      <c r="F262" s="2" t="s">
        <v>31</v>
      </c>
      <c r="G262" s="46" t="s">
        <v>269</v>
      </c>
      <c r="H262" s="47">
        <v>1.2465277777777778E-2</v>
      </c>
      <c r="I262" s="48" t="s">
        <v>27</v>
      </c>
      <c r="J262" s="41" t="s">
        <v>181</v>
      </c>
    </row>
    <row r="263" spans="1:10" ht="24" x14ac:dyDescent="0.2">
      <c r="A263" s="4">
        <v>262</v>
      </c>
      <c r="D263" s="4">
        <v>1</v>
      </c>
      <c r="E263" s="49" t="s">
        <v>311</v>
      </c>
      <c r="F263" s="2" t="s">
        <v>31</v>
      </c>
      <c r="G263" s="46" t="s">
        <v>274</v>
      </c>
      <c r="H263" s="47">
        <v>3.6458333333333334E-3</v>
      </c>
      <c r="I263" s="48" t="s">
        <v>27</v>
      </c>
      <c r="J263" s="41" t="s">
        <v>181</v>
      </c>
    </row>
    <row r="264" spans="1:10" ht="24" x14ac:dyDescent="0.2">
      <c r="A264" s="4">
        <v>263</v>
      </c>
      <c r="D264" s="4">
        <v>1</v>
      </c>
      <c r="E264" s="49" t="s">
        <v>309</v>
      </c>
      <c r="F264" s="2" t="s">
        <v>31</v>
      </c>
      <c r="G264" s="46" t="s">
        <v>75</v>
      </c>
      <c r="H264" s="47">
        <v>2.2291666666666668E-2</v>
      </c>
      <c r="I264" s="48" t="s">
        <v>27</v>
      </c>
      <c r="J264" s="41" t="s">
        <v>181</v>
      </c>
    </row>
    <row r="265" spans="1:10" ht="24" x14ac:dyDescent="0.2">
      <c r="A265" s="4">
        <v>264</v>
      </c>
      <c r="D265" s="4">
        <v>1</v>
      </c>
      <c r="E265" s="49" t="s">
        <v>309</v>
      </c>
      <c r="F265" s="2" t="s">
        <v>31</v>
      </c>
      <c r="G265" s="46" t="s">
        <v>275</v>
      </c>
      <c r="H265" s="47">
        <v>2.1238425925925924E-2</v>
      </c>
      <c r="I265" s="48" t="s">
        <v>27</v>
      </c>
      <c r="J265" s="41" t="s">
        <v>181</v>
      </c>
    </row>
    <row r="266" spans="1:10" ht="24" x14ac:dyDescent="0.2">
      <c r="A266" s="4">
        <v>265</v>
      </c>
      <c r="D266" s="4">
        <v>1</v>
      </c>
      <c r="E266" s="49" t="s">
        <v>309</v>
      </c>
      <c r="F266" s="2" t="s">
        <v>31</v>
      </c>
      <c r="G266" s="46" t="s">
        <v>318</v>
      </c>
      <c r="H266" s="47">
        <v>1.5758101851851853E-2</v>
      </c>
      <c r="I266" s="48" t="s">
        <v>27</v>
      </c>
      <c r="J266" s="41" t="s">
        <v>181</v>
      </c>
    </row>
    <row r="267" spans="1:10" ht="24" x14ac:dyDescent="0.2">
      <c r="A267" s="4">
        <v>266</v>
      </c>
      <c r="D267" s="4">
        <v>1</v>
      </c>
      <c r="E267" s="49" t="s">
        <v>309</v>
      </c>
      <c r="F267" s="2" t="s">
        <v>31</v>
      </c>
      <c r="G267" s="46" t="s">
        <v>319</v>
      </c>
      <c r="H267" s="47">
        <f>H266/2</f>
        <v>7.8790509259259265E-3</v>
      </c>
      <c r="I267" s="48" t="s">
        <v>27</v>
      </c>
      <c r="J267" s="41" t="s">
        <v>181</v>
      </c>
    </row>
    <row r="268" spans="1:10" ht="24" x14ac:dyDescent="0.2">
      <c r="A268" s="4">
        <v>267</v>
      </c>
      <c r="D268" s="4">
        <v>1</v>
      </c>
      <c r="E268" s="49" t="s">
        <v>309</v>
      </c>
      <c r="F268" s="2" t="s">
        <v>31</v>
      </c>
      <c r="G268" s="46" t="s">
        <v>249</v>
      </c>
      <c r="H268" s="47">
        <v>2.1180555555555557E-2</v>
      </c>
      <c r="I268" s="48" t="s">
        <v>27</v>
      </c>
      <c r="J268" s="41" t="s">
        <v>181</v>
      </c>
    </row>
    <row r="269" spans="1:10" ht="24" x14ac:dyDescent="0.2">
      <c r="A269" s="4">
        <v>268</v>
      </c>
      <c r="D269" s="4">
        <v>1</v>
      </c>
      <c r="E269" s="49" t="s">
        <v>309</v>
      </c>
      <c r="F269" s="2" t="s">
        <v>31</v>
      </c>
      <c r="G269" s="46" t="s">
        <v>276</v>
      </c>
      <c r="H269" s="47">
        <v>1.3657407407407407E-3</v>
      </c>
      <c r="I269" s="48" t="s">
        <v>27</v>
      </c>
      <c r="J269" s="41" t="s">
        <v>181</v>
      </c>
    </row>
    <row r="270" spans="1:10" ht="24" x14ac:dyDescent="0.2">
      <c r="A270" s="4">
        <v>269</v>
      </c>
      <c r="D270" s="4">
        <v>1</v>
      </c>
      <c r="E270" s="49" t="s">
        <v>309</v>
      </c>
      <c r="F270" s="2" t="s">
        <v>31</v>
      </c>
      <c r="G270" s="46" t="s">
        <v>277</v>
      </c>
      <c r="H270" s="47">
        <v>1.3148148148148148E-2</v>
      </c>
      <c r="I270" s="48" t="s">
        <v>27</v>
      </c>
      <c r="J270" s="41" t="s">
        <v>181</v>
      </c>
    </row>
    <row r="271" spans="1:10" ht="24" x14ac:dyDescent="0.2">
      <c r="A271" s="4">
        <v>270</v>
      </c>
      <c r="D271" s="4">
        <v>1</v>
      </c>
      <c r="E271" s="49" t="s">
        <v>310</v>
      </c>
      <c r="F271" s="2" t="s">
        <v>31</v>
      </c>
      <c r="G271" s="46" t="s">
        <v>75</v>
      </c>
      <c r="H271" s="47">
        <v>1.1851851851851851E-2</v>
      </c>
      <c r="I271" s="48" t="s">
        <v>27</v>
      </c>
      <c r="J271" s="41" t="s">
        <v>181</v>
      </c>
    </row>
    <row r="272" spans="1:10" ht="24" x14ac:dyDescent="0.2">
      <c r="A272" s="4">
        <v>271</v>
      </c>
      <c r="D272" s="4">
        <v>1</v>
      </c>
      <c r="E272" s="49" t="s">
        <v>310</v>
      </c>
      <c r="F272" s="2" t="s">
        <v>31</v>
      </c>
      <c r="G272" s="46" t="s">
        <v>278</v>
      </c>
      <c r="H272" s="47">
        <v>1.9641203703703702E-2</v>
      </c>
      <c r="I272" s="48" t="s">
        <v>27</v>
      </c>
      <c r="J272" s="41" t="s">
        <v>181</v>
      </c>
    </row>
    <row r="273" spans="1:10" ht="24" x14ac:dyDescent="0.2">
      <c r="A273" s="4">
        <v>272</v>
      </c>
      <c r="D273" s="4">
        <v>1</v>
      </c>
      <c r="E273" s="49" t="s">
        <v>310</v>
      </c>
      <c r="F273" s="2" t="s">
        <v>31</v>
      </c>
      <c r="G273" s="46" t="s">
        <v>279</v>
      </c>
      <c r="H273" s="47">
        <v>7.1875000000000003E-3</v>
      </c>
      <c r="I273" s="48" t="s">
        <v>27</v>
      </c>
      <c r="J273" s="41" t="s">
        <v>181</v>
      </c>
    </row>
    <row r="274" spans="1:10" ht="24" x14ac:dyDescent="0.2">
      <c r="A274" s="4">
        <v>273</v>
      </c>
      <c r="D274" s="4">
        <v>1</v>
      </c>
      <c r="E274" s="49" t="s">
        <v>310</v>
      </c>
      <c r="F274" s="2" t="s">
        <v>31</v>
      </c>
      <c r="G274" s="46" t="s">
        <v>280</v>
      </c>
      <c r="H274" s="47">
        <v>1.6886574074074075E-2</v>
      </c>
      <c r="I274" s="48" t="s">
        <v>27</v>
      </c>
      <c r="J274" s="41" t="s">
        <v>181</v>
      </c>
    </row>
    <row r="275" spans="1:10" ht="24" x14ac:dyDescent="0.2">
      <c r="A275" s="4">
        <v>274</v>
      </c>
      <c r="D275" s="4">
        <v>1</v>
      </c>
      <c r="E275" s="49" t="s">
        <v>310</v>
      </c>
      <c r="F275" s="2" t="s">
        <v>31</v>
      </c>
      <c r="G275" s="46" t="s">
        <v>281</v>
      </c>
      <c r="H275" s="47">
        <v>1.712962962962963E-3</v>
      </c>
      <c r="I275" s="48" t="s">
        <v>27</v>
      </c>
      <c r="J275" s="41" t="s">
        <v>181</v>
      </c>
    </row>
    <row r="276" spans="1:10" ht="24" x14ac:dyDescent="0.2">
      <c r="A276" s="4">
        <v>275</v>
      </c>
      <c r="D276" s="4">
        <v>1</v>
      </c>
      <c r="E276" s="49" t="s">
        <v>310</v>
      </c>
      <c r="F276" s="2" t="s">
        <v>31</v>
      </c>
      <c r="G276" s="46" t="s">
        <v>282</v>
      </c>
      <c r="H276" s="47">
        <v>1.4699074074074074E-2</v>
      </c>
      <c r="I276" s="48" t="s">
        <v>27</v>
      </c>
      <c r="J276" s="41" t="s">
        <v>181</v>
      </c>
    </row>
    <row r="277" spans="1:10" ht="24" x14ac:dyDescent="0.2">
      <c r="A277" s="4">
        <v>276</v>
      </c>
      <c r="D277" s="4">
        <v>1</v>
      </c>
      <c r="E277" s="49" t="s">
        <v>310</v>
      </c>
      <c r="F277" s="2" t="s">
        <v>31</v>
      </c>
      <c r="G277" s="46" t="s">
        <v>283</v>
      </c>
      <c r="H277" s="47">
        <v>8.0208333333333329E-3</v>
      </c>
      <c r="I277" s="48" t="s">
        <v>27</v>
      </c>
      <c r="J277" s="41" t="s">
        <v>181</v>
      </c>
    </row>
    <row r="278" spans="1:10" ht="24" x14ac:dyDescent="0.2">
      <c r="A278" s="4">
        <v>277</v>
      </c>
      <c r="D278" s="4">
        <v>1</v>
      </c>
      <c r="E278" s="49" t="s">
        <v>310</v>
      </c>
      <c r="F278" s="2" t="s">
        <v>31</v>
      </c>
      <c r="G278" s="46" t="s">
        <v>284</v>
      </c>
      <c r="H278" s="47">
        <v>2.074074074074074E-2</v>
      </c>
      <c r="I278" s="48" t="s">
        <v>27</v>
      </c>
      <c r="J278" s="41" t="s">
        <v>181</v>
      </c>
    </row>
    <row r="279" spans="1:10" ht="24" x14ac:dyDescent="0.2">
      <c r="A279" s="4">
        <v>278</v>
      </c>
      <c r="D279" s="4">
        <v>1</v>
      </c>
      <c r="E279" s="49" t="s">
        <v>310</v>
      </c>
      <c r="F279" s="2" t="s">
        <v>31</v>
      </c>
      <c r="G279" s="46" t="s">
        <v>285</v>
      </c>
      <c r="H279" s="47">
        <v>1.3414351851851853E-2</v>
      </c>
      <c r="I279" s="48" t="s">
        <v>27</v>
      </c>
      <c r="J279" s="41" t="s">
        <v>181</v>
      </c>
    </row>
    <row r="280" spans="1:10" ht="24" x14ac:dyDescent="0.2">
      <c r="A280" s="4">
        <v>279</v>
      </c>
      <c r="D280" s="4">
        <v>1</v>
      </c>
      <c r="E280" s="49" t="s">
        <v>310</v>
      </c>
      <c r="F280" s="2" t="s">
        <v>31</v>
      </c>
      <c r="G280" s="46" t="s">
        <v>286</v>
      </c>
      <c r="H280" s="47">
        <v>2.1875000000000002E-3</v>
      </c>
      <c r="I280" s="48" t="s">
        <v>27</v>
      </c>
      <c r="J280" s="41" t="s">
        <v>181</v>
      </c>
    </row>
    <row r="281" spans="1:10" ht="24" x14ac:dyDescent="0.2">
      <c r="A281" s="4">
        <v>280</v>
      </c>
      <c r="D281" s="4">
        <v>1</v>
      </c>
      <c r="E281" s="49" t="s">
        <v>312</v>
      </c>
      <c r="F281" s="2" t="s">
        <v>31</v>
      </c>
      <c r="G281" s="46" t="s">
        <v>75</v>
      </c>
      <c r="H281" s="47">
        <v>1.0393518518518519E-2</v>
      </c>
      <c r="I281" s="48" t="s">
        <v>27</v>
      </c>
      <c r="J281" s="41" t="s">
        <v>181</v>
      </c>
    </row>
    <row r="282" spans="1:10" ht="24" x14ac:dyDescent="0.2">
      <c r="A282" s="4">
        <v>281</v>
      </c>
      <c r="D282" s="4">
        <v>1</v>
      </c>
      <c r="E282" s="49" t="s">
        <v>312</v>
      </c>
      <c r="F282" s="2" t="s">
        <v>31</v>
      </c>
      <c r="G282" s="46" t="s">
        <v>287</v>
      </c>
      <c r="H282" s="47">
        <v>1.306712962962963E-2</v>
      </c>
      <c r="I282" s="48" t="s">
        <v>27</v>
      </c>
      <c r="J282" s="41" t="s">
        <v>181</v>
      </c>
    </row>
    <row r="283" spans="1:10" ht="24" x14ac:dyDescent="0.2">
      <c r="A283" s="4">
        <v>282</v>
      </c>
      <c r="D283" s="4">
        <v>1</v>
      </c>
      <c r="E283" s="49" t="s">
        <v>312</v>
      </c>
      <c r="F283" s="2" t="s">
        <v>31</v>
      </c>
      <c r="G283" s="46" t="s">
        <v>288</v>
      </c>
      <c r="H283" s="47">
        <v>1.7141203703703704E-2</v>
      </c>
      <c r="I283" s="48" t="s">
        <v>27</v>
      </c>
      <c r="J283" s="41" t="s">
        <v>181</v>
      </c>
    </row>
    <row r="284" spans="1:10" ht="24" x14ac:dyDescent="0.2">
      <c r="A284" s="4">
        <v>283</v>
      </c>
      <c r="D284" s="4">
        <v>1</v>
      </c>
      <c r="E284" s="49" t="s">
        <v>312</v>
      </c>
      <c r="F284" s="2" t="s">
        <v>31</v>
      </c>
      <c r="G284" s="46" t="s">
        <v>289</v>
      </c>
      <c r="H284" s="47">
        <v>1.0983796296296297E-2</v>
      </c>
      <c r="I284" s="48" t="s">
        <v>27</v>
      </c>
      <c r="J284" s="41" t="s">
        <v>181</v>
      </c>
    </row>
    <row r="285" spans="1:10" ht="24" x14ac:dyDescent="0.2">
      <c r="A285" s="4">
        <v>284</v>
      </c>
      <c r="D285" s="4">
        <v>1</v>
      </c>
      <c r="E285" s="49" t="s">
        <v>312</v>
      </c>
      <c r="F285" s="2" t="s">
        <v>31</v>
      </c>
      <c r="G285" s="46" t="s">
        <v>290</v>
      </c>
      <c r="H285" s="47">
        <v>1.5925925925925927E-2</v>
      </c>
      <c r="I285" s="48" t="s">
        <v>27</v>
      </c>
      <c r="J285" s="41" t="s">
        <v>181</v>
      </c>
    </row>
    <row r="286" spans="1:10" ht="24" x14ac:dyDescent="0.2">
      <c r="A286" s="4">
        <v>285</v>
      </c>
      <c r="D286" s="4">
        <v>1</v>
      </c>
      <c r="E286" s="49" t="s">
        <v>312</v>
      </c>
      <c r="F286" s="2" t="s">
        <v>31</v>
      </c>
      <c r="G286" s="46" t="s">
        <v>291</v>
      </c>
      <c r="H286" s="47">
        <v>8.5879629629629622E-3</v>
      </c>
      <c r="I286" s="48" t="s">
        <v>27</v>
      </c>
      <c r="J286" s="41" t="s">
        <v>181</v>
      </c>
    </row>
    <row r="287" spans="1:10" ht="24" x14ac:dyDescent="0.2">
      <c r="A287" s="4">
        <v>286</v>
      </c>
      <c r="D287" s="4">
        <v>1</v>
      </c>
      <c r="E287" s="49" t="s">
        <v>312</v>
      </c>
      <c r="F287" s="2" t="s">
        <v>31</v>
      </c>
      <c r="G287" s="46" t="s">
        <v>292</v>
      </c>
      <c r="H287" s="47">
        <v>1.4652777777777778E-2</v>
      </c>
      <c r="I287" s="48" t="s">
        <v>27</v>
      </c>
      <c r="J287" s="41" t="s">
        <v>181</v>
      </c>
    </row>
    <row r="288" spans="1:10" ht="24" x14ac:dyDescent="0.2">
      <c r="A288" s="4">
        <v>287</v>
      </c>
      <c r="D288" s="4">
        <v>1</v>
      </c>
      <c r="E288" s="49" t="s">
        <v>312</v>
      </c>
      <c r="F288" s="2" t="s">
        <v>31</v>
      </c>
      <c r="G288" s="46" t="s">
        <v>293</v>
      </c>
      <c r="H288" s="47">
        <v>1.8263888888888889E-2</v>
      </c>
      <c r="I288" s="48" t="s">
        <v>27</v>
      </c>
      <c r="J288" s="41" t="s">
        <v>181</v>
      </c>
    </row>
    <row r="289" spans="1:10" ht="24" x14ac:dyDescent="0.2">
      <c r="A289" s="4">
        <v>288</v>
      </c>
      <c r="D289" s="4">
        <v>1</v>
      </c>
      <c r="E289" s="49" t="s">
        <v>312</v>
      </c>
      <c r="F289" s="2" t="s">
        <v>31</v>
      </c>
      <c r="G289" s="46" t="s">
        <v>294</v>
      </c>
      <c r="H289" s="47">
        <v>1.9282407407407408E-2</v>
      </c>
      <c r="I289" s="48" t="s">
        <v>27</v>
      </c>
      <c r="J289" s="41" t="s">
        <v>181</v>
      </c>
    </row>
    <row r="290" spans="1:10" ht="24" x14ac:dyDescent="0.2">
      <c r="A290" s="4">
        <v>289</v>
      </c>
      <c r="D290" s="4">
        <v>1</v>
      </c>
      <c r="E290" s="49" t="s">
        <v>312</v>
      </c>
      <c r="F290" s="2" t="s">
        <v>31</v>
      </c>
      <c r="G290" s="46" t="s">
        <v>295</v>
      </c>
      <c r="H290" s="47">
        <v>4.1898148148148146E-3</v>
      </c>
      <c r="I290" s="48" t="s">
        <v>27</v>
      </c>
      <c r="J290" s="41" t="s">
        <v>181</v>
      </c>
    </row>
    <row r="291" spans="1:10" ht="24" x14ac:dyDescent="0.2">
      <c r="A291" s="4">
        <v>290</v>
      </c>
      <c r="D291" s="4">
        <v>1</v>
      </c>
      <c r="E291" s="49" t="s">
        <v>313</v>
      </c>
      <c r="F291" s="2" t="s">
        <v>31</v>
      </c>
      <c r="G291" s="46" t="s">
        <v>75</v>
      </c>
      <c r="H291" s="47">
        <v>1.5173611111111112E-2</v>
      </c>
      <c r="I291" s="48" t="s">
        <v>27</v>
      </c>
      <c r="J291" s="41" t="s">
        <v>181</v>
      </c>
    </row>
    <row r="292" spans="1:10" ht="24" x14ac:dyDescent="0.2">
      <c r="A292" s="4">
        <v>291</v>
      </c>
      <c r="D292" s="4">
        <v>1</v>
      </c>
      <c r="E292" s="49" t="s">
        <v>313</v>
      </c>
      <c r="F292" s="2" t="s">
        <v>31</v>
      </c>
      <c r="G292" s="46" t="s">
        <v>296</v>
      </c>
      <c r="H292" s="47">
        <v>1.5844907407407408E-2</v>
      </c>
      <c r="I292" s="48" t="s">
        <v>27</v>
      </c>
      <c r="J292" s="41" t="s">
        <v>181</v>
      </c>
    </row>
    <row r="293" spans="1:10" ht="24" x14ac:dyDescent="0.2">
      <c r="A293" s="4">
        <v>292</v>
      </c>
      <c r="D293" s="4">
        <v>1</v>
      </c>
      <c r="E293" s="49" t="s">
        <v>313</v>
      </c>
      <c r="F293" s="2" t="s">
        <v>31</v>
      </c>
      <c r="G293" s="46" t="s">
        <v>297</v>
      </c>
      <c r="H293" s="47">
        <v>1.9722222222222221E-2</v>
      </c>
      <c r="I293" s="48" t="s">
        <v>27</v>
      </c>
      <c r="J293" s="41" t="s">
        <v>181</v>
      </c>
    </row>
    <row r="294" spans="1:10" ht="24" x14ac:dyDescent="0.2">
      <c r="A294" s="4">
        <v>293</v>
      </c>
      <c r="D294" s="4">
        <v>1</v>
      </c>
      <c r="E294" s="49" t="s">
        <v>313</v>
      </c>
      <c r="F294" s="2" t="s">
        <v>31</v>
      </c>
      <c r="G294" s="46" t="s">
        <v>298</v>
      </c>
      <c r="H294" s="47">
        <v>2.7430555555555554E-3</v>
      </c>
      <c r="I294" s="48" t="s">
        <v>27</v>
      </c>
      <c r="J294" s="41" t="s">
        <v>181</v>
      </c>
    </row>
    <row r="295" spans="1:10" ht="24" x14ac:dyDescent="0.2">
      <c r="A295" s="4">
        <v>294</v>
      </c>
      <c r="D295" s="4">
        <v>1</v>
      </c>
      <c r="E295" s="49" t="s">
        <v>313</v>
      </c>
      <c r="F295" s="2" t="s">
        <v>31</v>
      </c>
      <c r="G295" s="46" t="s">
        <v>299</v>
      </c>
      <c r="H295" s="47">
        <v>1.0914351851851852E-2</v>
      </c>
      <c r="I295" s="48" t="s">
        <v>27</v>
      </c>
      <c r="J295" s="41" t="s">
        <v>181</v>
      </c>
    </row>
    <row r="296" spans="1:10" ht="24" x14ac:dyDescent="0.2">
      <c r="A296" s="4">
        <v>295</v>
      </c>
      <c r="D296" s="4">
        <v>1</v>
      </c>
      <c r="E296" s="49" t="s">
        <v>313</v>
      </c>
      <c r="F296" s="2" t="s">
        <v>31</v>
      </c>
      <c r="G296" s="46" t="s">
        <v>300</v>
      </c>
      <c r="H296" s="47">
        <v>1.4618055555555556E-2</v>
      </c>
      <c r="I296" s="48" t="s">
        <v>27</v>
      </c>
      <c r="J296" s="41" t="s">
        <v>181</v>
      </c>
    </row>
    <row r="297" spans="1:10" ht="24" x14ac:dyDescent="0.2">
      <c r="A297" s="4">
        <v>296</v>
      </c>
      <c r="D297" s="4">
        <v>1</v>
      </c>
      <c r="E297" s="49" t="s">
        <v>313</v>
      </c>
      <c r="F297" s="2" t="s">
        <v>31</v>
      </c>
      <c r="G297" s="46" t="s">
        <v>301</v>
      </c>
      <c r="H297" s="47">
        <v>2.4675925925925928E-2</v>
      </c>
      <c r="I297" s="48" t="s">
        <v>27</v>
      </c>
      <c r="J297" s="41" t="s">
        <v>181</v>
      </c>
    </row>
  </sheetData>
  <autoFilter ref="E1:I297" xr:uid="{DD2B085D-1F03-6E4D-AC0E-C97D058562A5}"/>
  <phoneticPr fontId="5" type="noConversion"/>
  <conditionalFormatting sqref="J37 J99:J159 J186:J225">
    <cfRule type="cellIs" dxfId="6" priority="8" operator="equal">
      <formula>"Não"</formula>
    </cfRule>
  </conditionalFormatting>
  <conditionalFormatting sqref="J38:J97 J161:J173 J175:J185">
    <cfRule type="cellIs" dxfId="5" priority="7" operator="equal">
      <formula>"Não"</formula>
    </cfRule>
  </conditionalFormatting>
  <conditionalFormatting sqref="J98">
    <cfRule type="cellIs" dxfId="4" priority="6" operator="equal">
      <formula>"Não"</formula>
    </cfRule>
  </conditionalFormatting>
  <conditionalFormatting sqref="J160">
    <cfRule type="cellIs" dxfId="3" priority="5" operator="equal">
      <formula>"Não"</formula>
    </cfRule>
  </conditionalFormatting>
  <conditionalFormatting sqref="J174">
    <cfRule type="cellIs" dxfId="2" priority="4" operator="equal">
      <formula>"Não"</formula>
    </cfRule>
  </conditionalFormatting>
  <conditionalFormatting sqref="J2:J36">
    <cfRule type="cellIs" dxfId="1" priority="3" operator="equal">
      <formula>"Não"</formula>
    </cfRule>
  </conditionalFormatting>
  <conditionalFormatting sqref="J226:J297">
    <cfRule type="cellIs" dxfId="0" priority="2" operator="equal">
      <formula>"Não"</formula>
    </cfRule>
  </conditionalFormatting>
  <dataValidations disablePrompts="1" count="1">
    <dataValidation type="list" allowBlank="1" showInputMessage="1" showErrorMessage="1" sqref="J2:J297" xr:uid="{892C875D-7684-DE4F-A8F2-4DF7904C1BD2}">
      <formula1>"Não,Sim"</formula1>
    </dataValidation>
  </dataValidations>
  <hyperlinks>
    <hyperlink ref="I190" r:id="rId1" display="https://ead.preditiva.ai/61404-14-calculando-o-valor-de-um-projeto-de-dados-e-apresentando-os-resultados/1391422-aula-2-apresentando-um-projeto-de-dados-parte-2" xr:uid="{3E1E9C04-2EC2-284A-A46A-724AB870E2A1}"/>
    <hyperlink ref="I189" r:id="rId2" display="https://ead.preditiva.ai/61404-14-calculando-o-valor-de-um-projeto-de-dados-e-apresentando-os-resultados/1391421-aula-1-apresentando-um-projeto-de-dados-parte-1" xr:uid="{DC69F0F7-0E48-1F46-B7BE-287ACD91EC3F}"/>
    <hyperlink ref="I188" r:id="rId3" display="https://ead.preditiva.ai/61404-14-calculando-o-valor-de-um-projeto-de-dados-e-apresentando-os-resultados/1391420-aula-2-mensurando-o-impacto-gerado-apos-a-implantacao" xr:uid="{B947C7B0-3789-1C43-AE5F-2AD9FFF9D9C7}"/>
    <hyperlink ref="I187" r:id="rId4" display="https://ead.preditiva.ai/61404-14-calculando-o-valor-de-um-projeto-de-dados-e-apresentando-os-resultados/1391419-aula-1-mensurando-o-potencial-de-um-projeto-de-dados" xr:uid="{AFD569E8-8AA4-4B48-AB89-BB050C9FB07B}"/>
    <hyperlink ref="I186" r:id="rId5" display="https://ead.preditiva.ai/53798-13-metodo-crisp-dm/1391415-aula-9-consideracoes-finais" xr:uid="{0AFC9F33-DA1B-6D4F-A256-34B50CEF36E7}"/>
    <hyperlink ref="I185" r:id="rId6" display="https://ead.preditiva.ai/53798-13-metodo-crisp-dm/1391414-aula-8-deploy-implantacao" xr:uid="{EDB2F021-2D0C-CC48-9EB5-CF34DBC9F8DA}"/>
    <hyperlink ref="I184" r:id="rId7" display="https://ead.preditiva.ai/53798-13-metodo-crisp-dm/1391413-aula-7-validacao-do-trabalho" xr:uid="{5A075822-10B5-4D47-BCE2-4B4FE0158571}"/>
    <hyperlink ref="I183" r:id="rId8" display="https://ead.preditiva.ai/53798-13-metodo-crisp-dm/1391412-aula-6-desenvolvendo-o-estudo-ou-modelo-parte-2" xr:uid="{1238C1AA-DE17-CC4A-BC55-7A2795D2295C}"/>
    <hyperlink ref="I182" r:id="rId9" display="https://ead.preditiva.ai/53798-13-metodo-crisp-dm/1391411-aula-5-desenvolvendo-o-estudo-ou-modelo-parte-1" xr:uid="{FB7D487C-FCA5-DD4A-9CD9-197119CDBAD4}"/>
    <hyperlink ref="I181" r:id="rId10" display="https://ead.preditiva.ai/53798-13-metodo-crisp-dm/1391410-aula-4-preparacao-dos-dados" xr:uid="{9215D667-BC31-0340-8518-75EC692DCB59}"/>
    <hyperlink ref="I180" r:id="rId11" display="https://ead.preditiva.ai/53798-13-metodo-crisp-dm/1391409-aula-3-entendimento-dos-dados" xr:uid="{192A50C5-3010-3D41-8924-E2F0CB0981C2}"/>
    <hyperlink ref="I179" r:id="rId12" display="https://ead.preditiva.ai/53798-13-metodo-crisp-dm/1391408-aula-2-entendimento-do-negocio" xr:uid="{800967F5-34B2-2C44-A6A8-3DB8E9F67445}"/>
    <hyperlink ref="I178" r:id="rId13" display="https://ead.preditiva.ai/53798-13-metodo-crisp-dm/1391407-aula-1-overview-do-crisp-dm" xr:uid="{C4F89E0C-C35C-9C43-B469-478E8C96712B}"/>
    <hyperlink ref="I177" r:id="rId14" display="https://ead.preditiva.ai/61407-12-python-para-analise-de-dados/1391461-opcional-aula-17-introducao-ao-h2o" xr:uid="{DD9E38F3-F415-3547-804D-EFDA39BFF661}"/>
    <hyperlink ref="I176" r:id="rId15" display="https://ead.preditiva.ai/61407-12-python-para-analise-de-dados/1391455-opcional-aula-16-scikit-learn-clusterizacao-e-selecao-de-modelos" xr:uid="{D583D380-4B9D-7843-A2F5-DEDCBA5A31A0}"/>
    <hyperlink ref="I175" r:id="rId16" display="https://ead.preditiva.ai/61407-12-python-para-analise-de-dados/1391445-aula-15-scikit-learn-reducao-de-dimensionalidade-classificacao-e-regress" xr:uid="{52DE063F-ED83-1E49-BD01-560F45D2B37F}"/>
    <hyperlink ref="I173" r:id="rId17" display="https://ead.preditiva.ai/61407-12-python-para-analise-de-dados/1391442-aula-14-scikit-learn-preparacao-dos-dados" xr:uid="{294C4171-13C4-724B-854C-956B5B836684}"/>
    <hyperlink ref="I172" r:id="rId18" display="https://ead.preditiva.ai/61407-12-python-para-analise-de-dados/1391441-aula-13-matplotlib-graficos-com-o-seaborn" xr:uid="{734A6CB8-D0FE-7942-924D-5F5307E9443A}"/>
    <hyperlink ref="I171" r:id="rId19" display="https://ead.preditiva.ai/61407-12-python-para-analise-de-dados/1391440-aula-12-matplotlib-matriz-de-graficos-subplots" xr:uid="{AC293ACB-15FA-124E-9D94-7B11887175BF}"/>
    <hyperlink ref="I170" r:id="rId20" display="https://ead.preditiva.ai/61407-12-python-para-analise-de-dados/1391439-aula-11-matplotlib-tipos-de-graficos" xr:uid="{B854DD80-233A-3240-9BD1-6AE3D5338D3C}"/>
    <hyperlink ref="I169" r:id="rId21" display="https://ead.preditiva.ai/61407-12-python-para-analise-de-dados/1391438-aula-10-matplotlib-criando-graficos" xr:uid="{91CA4B01-E079-394D-BA32-C23ED42A4C12}"/>
    <hyperlink ref="I168" r:id="rId22" display="https://ead.preditiva.ai/61407-12-python-para-analise-de-dados/1391437-aula-9-pandas-tratamento-de-variaveis-e-datas" xr:uid="{6DE9C7B9-8759-D94A-9909-34ECED037772}"/>
    <hyperlink ref="I167" r:id="rId23" display="https://ead.preditiva.ai/61407-12-python-para-analise-de-dados/1391436-aula-8-pandas-dados-faltantes-missing-values-e-duplicacoes" xr:uid="{16DA23C6-718B-084E-A055-FD4C3BDA45DE}"/>
    <hyperlink ref="I166" r:id="rId24" display="https://ead.preditiva.ai/61407-12-python-para-analise-de-dados/1391435-aula-7-pandas-agregando-e-resumindo-dados" xr:uid="{3B877562-3171-DB44-8552-0285D6982C9A}"/>
    <hyperlink ref="I165" r:id="rId25" display="https://ead.preditiva.ai/61407-12-python-para-analise-de-dados/1391434-aula-6-pandas-concatenacao-merges-e-joins-de-dataframes" xr:uid="{46DF81A2-2E33-DB4E-829F-FBAE13466E09}"/>
    <hyperlink ref="I164" r:id="rId26" display="https://ead.preditiva.ai/61407-12-python-para-analise-de-dados/1391433-aula-5-pandas-introducao-e-filtragem-de-dataframes" xr:uid="{BADBA3AA-E64D-B849-AA67-4DF7EE7F73EC}"/>
    <hyperlink ref="I163" r:id="rId27" display="https://ead.preditiva.ai/61407-12-python-para-analise-de-dados/1391432-aula-4-numpy" xr:uid="{8B4FD99F-4B9E-6E45-BA31-5C02869A1AE5}"/>
    <hyperlink ref="I162" r:id="rId28" display="https://ead.preditiva.ai/61407-12-python-para-analise-de-dados/1391431-aula-3-organizacao-e-escalada-com-funcoes-e-classes" xr:uid="{42B4C3B1-8E7D-8A4B-BFFE-54822E70138C}"/>
    <hyperlink ref="I161" r:id="rId29" display="https://ead.preditiva.ai/61407-12-python-para-analise-de-dados/1391430-aula-2-estruturas-de-controle" xr:uid="{2F6D3BE8-4259-6C46-BBFC-AD1B4F6432D4}"/>
    <hyperlink ref="I159" r:id="rId30" display="https://ead.preditiva.ai/61407-12-python-para-analise-de-dados/1391429-aula-1-estruturas-de-dados" xr:uid="{689DFF8D-60F7-0F4C-A142-8CCE7AA33F58}"/>
    <hyperlink ref="I158" r:id="rId31" display="https://ead.preditiva.ai/53799-11-fundamentos-de-bi-extracao-e-visualizacao-de-dados-usando-sql-e-power-bi/1368613-aula-20-power-bi-dax-data-analysis-expressions" xr:uid="{1E33E29B-F0C7-6D44-9D28-4ED3BEF77B8B}"/>
    <hyperlink ref="I157" r:id="rId32" display="https://ead.preditiva.ai/53799-11-fundamentos-de-bi-extracao-e-visualizacao-de-dados-usando-sql-e-power-bi/1368612-aula-19-power-bi-medidas-rapidas" xr:uid="{5C17FED7-6517-9C4D-AAED-63159F4D4F6F}"/>
    <hyperlink ref="I156" r:id="rId33" display="https://ead.preditiva.ai/53799-11-fundamentos-de-bi-extracao-e-visualizacao-de-dados-usando-sql-e-power-bi/1368610-aula-18-power-bi-recursos-adicionais-parte-i" xr:uid="{88CF56F7-D13B-0A44-A8D1-DCB7079B0BA9}"/>
    <hyperlink ref="I155" r:id="rId34" display="https://ead.preditiva.ai/53799-11-fundamentos-de-bi-extracao-e-visualizacao-de-dados-usando-sql-e-power-bi/1368597-aula-17-outras-transformacoes" xr:uid="{466D77C9-F62E-754B-AF8E-358109F77F5C}"/>
    <hyperlink ref="I154" r:id="rId35" display="https://ead.preditiva.ai/53799-11-fundamentos-de-bi-extracao-e-visualizacao-de-dados-usando-sql-e-power-bi/1368595-aula-16-transformacoes-numericas" xr:uid="{6CAEE7DD-89D7-DC41-BBF3-511C37DF063C}"/>
    <hyperlink ref="I153" r:id="rId36" display="https://ead.preditiva.ai/53799-11-fundamentos-de-bi-extracao-e-visualizacao-de-dados-usando-sql-e-power-bi/1368594-aula-15-transformacoes-de-texto" xr:uid="{9A80CF9E-F15C-9541-934D-E0659352CD02}"/>
    <hyperlink ref="I152" r:id="rId37" display="https://ead.preditiva.ai/53799-11-fundamentos-de-bi-extracao-e-visualizacao-de-dados-usando-sql-e-power-bi/1368591-aula-14-transformacoes-de-data" xr:uid="{DF983440-DF35-7148-972E-73498652D770}"/>
    <hyperlink ref="I151" r:id="rId38" display="https://ead.preditiva.ai/53799-11-fundamentos-de-bi-extracao-e-visualizacao-de-dados-usando-sql-e-power-bi/1368588-aula-13-tabelas-temporarias" xr:uid="{3DDB7443-0023-2447-86DA-DD275A8ED8CF}"/>
    <hyperlink ref="I150" r:id="rId39" display="https://ead.preditiva.ai/53799-11-fundamentos-de-bi-extracao-e-visualizacao-de-dados-usando-sql-e-power-bi/1368587-aula-12-subqueries" xr:uid="{FD4D0DE8-E7B2-8340-A1EB-54FE984241CD}"/>
    <hyperlink ref="I149" r:id="rId40" display="https://ead.preditiva.ai/53799-11-fundamentos-de-bi-extracao-e-visualizacao-de-dados-usando-sql-e-power-bi/1342073-aula-11-power-bi-drill-down" xr:uid="{E75D1380-3986-2149-BD93-7FF465638475}"/>
    <hyperlink ref="I148" r:id="rId41" display="https://ead.preditiva.ai/53799-11-fundamentos-de-bi-extracao-e-visualizacao-de-dados-usando-sql-e-power-bi/1342071-aula-10-power-bi-filtros" xr:uid="{F6812310-1EA8-EB46-BB48-FBC6DB8C3E96}"/>
    <hyperlink ref="I147" r:id="rId42" display="https://ead.preditiva.ai/53799-11-fundamentos-de-bi-extracao-e-visualizacao-de-dados-usando-sql-e-power-bi/1342070-aula-9-power-bi-joins" xr:uid="{84120832-D655-D94A-81AA-6EBD23CCF328}"/>
    <hyperlink ref="I146" r:id="rId43" display="https://ead.preditiva.ai/53799-11-fundamentos-de-bi-extracao-e-visualizacao-de-dados-usando-sql-e-power-bi/1341731-sql-tipos-de-joins" xr:uid="{17B259EC-6FE2-7645-8360-50FE65DE6CE7}"/>
    <hyperlink ref="I145" r:id="rId44" display="https://ead.preditiva.ai/53799-11-fundamentos-de-bi-extracao-e-visualizacao-de-dados-usando-sql-e-power-bi/1341725-aula-8-sql-introducao-aos-joins" xr:uid="{D57062A2-8881-E047-B229-4CA44DA8AEEF}"/>
    <hyperlink ref="I144" r:id="rId45" display="https://ead.preditiva.ai/53799-11-fundamentos-de-bi-extracao-e-visualizacao-de-dados-usando-sql-e-power-bi/1341718-aplicacao-sql-case-when-e-group-by" xr:uid="{32AC9497-5DE0-6A49-A374-817DE17346BF}"/>
    <hyperlink ref="I143" r:id="rId46" display="https://ead.preditiva.ai/53799-11-fundamentos-de-bi-extracao-e-visualizacao-de-dados-usando-sql-e-power-bi/1341416-aula-7-sql-group-by" xr:uid="{CA14A452-C202-C64C-8735-64A27652CB23}"/>
    <hyperlink ref="I142" r:id="rId47" display="https://ead.preditiva.ai/53799-11-fundamentos-de-bi-extracao-e-visualizacao-de-dados-usando-sql-e-power-bi/1341354-aula-6-sql-case-when-operacoes-aritmeticas" xr:uid="{419B1793-7ADA-3D4B-8117-6557FBB14887}"/>
    <hyperlink ref="I141" r:id="rId48" display="https://ead.preditiva.ai/53799-11-fundamentos-de-bi-extracao-e-visualizacao-de-dados-usando-sql-e-power-bi/1341703-aplicacao-power-bi-criando-seu-primeiro-dashboard" xr:uid="{376C6E79-9610-804A-83DF-6773F68A5A30}"/>
    <hyperlink ref="I140" r:id="rId49" display="https://ead.preditiva.ai/53799-11-fundamentos-de-bi-extracao-e-visualizacao-de-dados-usando-sql-e-power-bi/1341266-aula-5-power-bi-criando-seu-primeiro-dashboard" xr:uid="{800935D5-D319-CF47-895F-24D3B1D8DD24}"/>
    <hyperlink ref="I139" r:id="rId50" display="https://ead.preditiva.ai/53799-11-fundamentos-de-bi-extracao-e-visualizacao-de-dados-usando-sql-e-power-bi/1341264-aula-4-power-bi-interface-e-conexao-com-sql" xr:uid="{EAD57590-0BD5-4F41-84D7-9DD88C076573}"/>
    <hyperlink ref="I138" r:id="rId51" display="https://ead.preditiva.ai/53799-11-fundamentos-de-bi-extracao-e-visualizacao-de-dados-usando-sql-e-power-bi/1341685-aplicacao-sql-select-where-e-order-by" xr:uid="{BBD6660F-0BA5-AE4B-BCCB-E42F2337485E}"/>
    <hyperlink ref="I137" r:id="rId52" display="https://ead.preditiva.ai/53799-11-fundamentos-de-bi-extracao-e-visualizacao-de-dados-usando-sql-e-power-bi/1341263-aula-3-sql-select-where-e-order-by" xr:uid="{77AE1AFD-D57D-FC42-98D6-9AA5A74E3602}"/>
    <hyperlink ref="I136" r:id="rId53" display="https://ead.preditiva.ai/53799-11-fundamentos-de-bi-extracao-e-visualizacao-de-dados-usando-sql-e-power-bi/1368565-aula-2-configuracao-de-client-sql-e-instalacao-do-power-bi" xr:uid="{494E0840-3FD1-E249-837F-4EDE1FBD4900}"/>
    <hyperlink ref="I135" r:id="rId54" display="https://ead.preditiva.ai/53799-11-fundamentos-de-bi-extracao-e-visualizacao-de-dados-usando-sql-e-power-bi/1368564-aula-1-fundamentos-de-bi" xr:uid="{65E37271-AF3F-8849-B68E-BB411C7592FB}"/>
    <hyperlink ref="I134" r:id="rId55" display="https://ead.preditiva.ai/53785-10-microsoft-excel-para-analytics/1368507-aula-34-como-criar-dashboards-no-excel" xr:uid="{AFDD6F37-658E-BD4E-908F-BEE66497F1AB}"/>
    <hyperlink ref="I133" r:id="rId56" display="https://ead.preditiva.ai/53785-10-microsoft-excel-para-analytics/1368504-aula-33-graficos-dinamicos-e-segmentacao-de-dados" xr:uid="{F56FAE0B-C3B3-A347-812F-1387184EA9B3}"/>
    <hyperlink ref="I126" r:id="rId57" display="https://ead.preditiva.ai/65765-9-diagnostico-de-modelos/1502756-hands-on-probabilidade-de-default-resolucao" xr:uid="{46171805-6EC1-DE4A-A786-BE320CB11A3E}"/>
    <hyperlink ref="I125" r:id="rId58" display="https://ead.preditiva.ai/65765-9-diagnostico-de-modelos/1502757-aula-12-tecnicas-de-regularizacao" xr:uid="{7FAA3C60-7823-7F41-AC35-4BC5B2C67131}"/>
    <hyperlink ref="I124" r:id="rId59" display="https://ead.preditiva.ai/65765-9-diagnostico-de-modelos/1502758-aula-11-introducao" xr:uid="{84E5D242-4B4C-554D-BB51-97627E7A47D1}"/>
    <hyperlink ref="I123" r:id="rId60" display="https://ead.preditiva.ai/65765-9-diagnostico-de-modelos/1502766-hands-on-custos-de-saude-resolucao" xr:uid="{C12BB35A-A493-B34C-AECB-2F71F0834605}"/>
    <hyperlink ref="I121" r:id="rId61" display="https://ead.preditiva.ai/65765-9-diagnostico-de-modelos/1502769-aula-10-problemas-comuns-na-validacao-parte-ii" xr:uid="{E2417E8E-C1F5-254A-B4B7-417F9C31A310}"/>
    <hyperlink ref="I120" r:id="rId62" display="https://ead.preditiva.ai/65765-9-diagnostico-de-modelos/1502765-aula-9-problemas-comuns-na-validacao-parte-i" xr:uid="{AE5DA8B0-7729-F84E-B524-E268BB000B7A}"/>
    <hyperlink ref="I119" r:id="rId63" display="https://ead.preditiva.ai/65765-9-diagnostico-de-modelos/1502768-aula-8-validacao-cruzada" xr:uid="{05719099-7B8B-D947-B797-F4CE2686C60B}"/>
    <hyperlink ref="I118" r:id="rId64" display="https://ead.preditiva.ai/65765-9-diagnostico-de-modelos/1502764-aula-7-tipos-de-validacao" xr:uid="{B03E4312-CED1-7248-B9CE-37618059DEC0}"/>
    <hyperlink ref="I117" r:id="rId65" display="https://ead.preditiva.ai/65765-9-diagnostico-de-modelos/1502767-aula-6-introducao" xr:uid="{2E402B81-A401-304E-9249-4B5BD33DE99F}"/>
    <hyperlink ref="I113" r:id="rId66" display="https://ead.preditiva.ai/65765-9-diagnostico-de-modelos/1502759-aula-5-ks" xr:uid="{657C7606-3EAE-2F4C-8EB2-8FF62788CBEB}"/>
    <hyperlink ref="I112" r:id="rId67" display="https://ead.preditiva.ai/65765-9-diagnostico-de-modelos/1502763-aula-4-auc" xr:uid="{97A3FC8C-2072-1C46-951F-015ED93F9BD7}"/>
    <hyperlink ref="I111" r:id="rId68" display="https://ead.preditiva.ai/65765-9-diagnostico-de-modelos/1502762-aula-3-sensibilidade-e-especificidade" xr:uid="{81E61975-D3B9-7542-8762-DA01DF613848}"/>
    <hyperlink ref="I110" r:id="rId69" display="https://ead.preditiva.ai/65765-9-diagnostico-de-modelos/1502761-aula-2-precision-recall-e-f1-score" xr:uid="{D7262BAD-94D0-3243-9833-A59E8F5A637E}"/>
    <hyperlink ref="I109" r:id="rId70" display="https://ead.preditiva.ai/65765-9-diagnostico-de-modelos/1502760-aula-1-introducao" xr:uid="{FF4CDA3B-F49A-2347-92E0-69459DB46E31}"/>
    <hyperlink ref="I108" r:id="rId71" display="https://ead.preditiva.ai/57958-8-topicos-de-data-science/1296723-modelos-estatisticos-vs-machine-learning" xr:uid="{95279401-EB67-1540-B895-C7E70749CA0C}"/>
    <hyperlink ref="I107" r:id="rId72" display="https://ead.preditiva.ai/57958-8-topicos-de-data-science/1296722-categorias-de-modelos" xr:uid="{B11CC00F-552B-414D-84B6-9204A684B352}"/>
    <hyperlink ref="I106" r:id="rId73" display="https://ead.preditiva.ai/57958-8-topicos-de-data-science/1296721-para-que-servem-os-modelos" xr:uid="{A98C2509-08D7-024A-A847-B8ED8BE2F7CE}"/>
    <hyperlink ref="I105" r:id="rId74" display="https://ead.preditiva.ai/57958-8-topicos-de-data-science/1296720-o-que-sao-modelos" xr:uid="{923AF86F-7D58-9045-A764-0E9BF09C3671}"/>
    <hyperlink ref="I104" r:id="rId75" display="https://ead.preditiva.ai/61740-7-regressao-logistica/1398604-hands-on-base-iris-resolucao" xr:uid="{2C6316B8-6926-8248-8F3D-CBA6415D2876}"/>
    <hyperlink ref="I103" r:id="rId76" display="https://ead.preditiva.ai/61740-7-regressao-logistica/1398601-hands-on-base-iris" xr:uid="{F48EF4C8-9EA9-A64D-BFCF-D6CE122ADBA3}"/>
    <hyperlink ref="I102" r:id="rId77" display="https://ead.preditiva.ai/61740-7-regressao-logistica/1398597-aula-3-interpretacao-do-modelo-de-regressao-logistica" xr:uid="{CAAA0EF5-5171-524C-B14C-EC89F33269E2}"/>
    <hyperlink ref="I101" r:id="rId78" display="https://ead.preditiva.ai/61740-7-regressao-logistica/1398596-aula-2-demonstracao" xr:uid="{FBD46DFF-90DE-5940-B493-A6445CC62502}"/>
    <hyperlink ref="I100" r:id="rId79" display="https://ead.preditiva.ai/61740-7-regressao-logistica/1398595-aula-1-introducao" xr:uid="{8FF9053C-3D63-B54A-B135-5373163E84CC}"/>
    <hyperlink ref="I99" r:id="rId80" display="https://ead.preditiva.ai/65759-6-regressao-linear-multipla/1502512-aula-regressao-linear-multipla" xr:uid="{7CAB6FDD-AB79-AE4D-9E80-A19672715E8D}"/>
    <hyperlink ref="I97" r:id="rId81" display="https://ead.preditiva.ai/65757-5-testes-a-b-testes-de-hipoteses/1502494-aplicacao-3-efeito-do-alcool-no-reflexo-de-motoristas" xr:uid="{C51B6746-CD3C-BF43-8B5C-7BDFA524079A}"/>
    <hyperlink ref="I96" r:id="rId82" display="https://ead.preditiva.ai/65757-5-testes-a-b-testes-de-hipoteses/1502492-aplicacao-2-indice-de-desenvolvimento-humano" xr:uid="{F0D93222-B119-7F41-815F-9B74CA48B05F}"/>
    <hyperlink ref="I95" r:id="rId83" display="https://ead.preditiva.ai/65757-5-testes-a-b-testes-de-hipoteses/1502485-aplicacao-1-teste-de-colesterol-dos-colaboradores" xr:uid="{936A275A-9F26-A645-93FB-2AAA5A8B1B42}"/>
    <hyperlink ref="I94" r:id="rId84" display="https://ead.preditiva.ai/65757-5-testes-a-b-testes-de-hipoteses/1502491-aula-14-a-importancia-do-metodo-cientifico" xr:uid="{FD8D449C-2A79-2645-BC4B-052205D30CF8}"/>
    <hyperlink ref="I93" r:id="rId85" display="https://ead.preditiva.ai/65757-5-testes-a-b-testes-de-hipoteses/1502490-aula-13-revisao-dos-testes-de-hipoteses" xr:uid="{5C90C34F-D555-AF4A-8FAA-83CCD7900CC6}"/>
    <hyperlink ref="I92" r:id="rId86" display="https://ead.preditiva.ai/65757-5-testes-a-b-testes-de-hipoteses/1502489-aula-12-teste-de-hipoteses-para-proporcao-de-2-populacoes" xr:uid="{69B39309-15CE-7A49-AA6B-8DA4127C3C16}"/>
    <hyperlink ref="I91" r:id="rId87" display="https://ead.preditiva.ai/65757-5-testes-a-b-testes-de-hipoteses/1502488-aula-11-teste-de-hipoteses-para-media-de-2-populacoes-pareadas" xr:uid="{258F5A0B-972D-804B-BBDE-9842E7941A13}"/>
    <hyperlink ref="I90" r:id="rId88" display="https://ead.preditiva.ai/65757-5-testes-a-b-testes-de-hipoteses/1502487-aula-10-testes-de-hipoteses-para-media-e-variancia-de-2-populacoes" xr:uid="{B15649F8-1435-A047-B062-CE5C1C453B4C}"/>
    <hyperlink ref="I89" r:id="rId89" display="https://ead.preditiva.ai/65757-5-testes-a-b-testes-de-hipoteses/1502493-aula-9-teste-de-hipoteses-para-media-de-1-populacao" xr:uid="{FB71634C-8766-0644-988B-601D6E29075E}"/>
    <hyperlink ref="I88" r:id="rId90" display="https://ead.preditiva.ai/65757-5-testes-a-b-testes-de-hipoteses/1502486-aula-8-introducao-aos-testes-de-hipoteses" xr:uid="{46B54713-AABC-E047-842F-40285BAE1BBC}"/>
    <hyperlink ref="I87" r:id="rId91" display="https://ead.preditiva.ai/53789-4-como-estimar-medidas-com-poucos-dados/1391401-aplicacao-6-estudo-de-vendas-e-frete-em-um-marketplace" xr:uid="{51F56BCF-7FEF-3E47-820A-4952CD58474E}"/>
    <hyperlink ref="I86" r:id="rId92" display="https://ead.preditiva.ai/53789-4-como-estimar-medidas-com-poucos-dados/1391397-aplicacao-5-adequacao-de-automoveis-aos-suecos-parte-2" xr:uid="{E9905A6E-96B1-6748-A3B3-9609CA9BC907}"/>
    <hyperlink ref="I85" r:id="rId93" display="https://ead.preditiva.ai/53789-4-como-estimar-medidas-com-poucos-dados/1391400-aplicacao-4-pesquisa-em-produtos-fitness" xr:uid="{2472452E-1003-DB44-BF52-3A3F2A883D37}"/>
    <hyperlink ref="I84" r:id="rId94" display="https://ead.preditiva.ai/53789-4-como-estimar-medidas-com-poucos-dados/1391396-aplicacao-3-conversao-de-vendas" xr:uid="{A5866143-ACB7-1C48-B44A-F07A27DD330A}"/>
    <hyperlink ref="I83" r:id="rId95" display="https://ead.preditiva.ai/53789-4-como-estimar-medidas-com-poucos-dados/1391393-aplicacao-2-adequacao-de-automoveis-aos-suecos-parte-1" xr:uid="{8EDCA20F-78F9-1847-96F7-5FB4C6BDA7C3}"/>
    <hyperlink ref="I82" r:id="rId96" display="https://ead.preditiva.ai/53789-4-como-estimar-medidas-com-poucos-dados/1391392-aplicacao-1-validacao-da-qualidade-das-amostras" xr:uid="{8FF2D7CF-A75F-1843-A0FE-98733156F77E}"/>
    <hyperlink ref="I81" r:id="rId97" display="https://ead.preditiva.ai/53789-4-como-estimar-medidas-com-poucos-dados/1391376-aula-7-calculando-a-margem-de-erro-e-o-tamanho-da-amostra" xr:uid="{73C8F688-AB39-6646-AB7D-0A3310D59FB8}"/>
    <hyperlink ref="I80" r:id="rId98" display="https://ead.preditiva.ai/53789-4-como-estimar-medidas-com-poucos-dados/1391375-aula-6-intervalos-de-confianca-estimando-a-proporcao-da-populacao" xr:uid="{D8A4F51C-9D4E-2A49-97DE-F43199A0FB75}"/>
    <hyperlink ref="I79" r:id="rId99" display="https://ead.preditiva.ai/53789-4-como-estimar-medidas-com-poucos-dados/1391372-aula-5-intervalos-de-confianca-demonstracao" xr:uid="{AA4134C1-40B6-A64C-9A07-F10A1A28E364}"/>
    <hyperlink ref="I78" r:id="rId100" display="https://ead.preditiva.ai/53789-4-como-estimar-medidas-com-poucos-dados/1391370-aula-4-intervalos-de-confianca-estimando-a-media-da-populacao" xr:uid="{6CA957E0-6460-754D-AD42-2F1E9DD56465}"/>
    <hyperlink ref="I77" r:id="rId101" display="https://ead.preditiva.ai/53789-4-como-estimar-medidas-com-poucos-dados/1391369-aula-3-o-importante-teorema-do-limite-central" xr:uid="{D9E984E7-148C-8F45-8FFD-B6FAB9A941F9}"/>
    <hyperlink ref="I76" r:id="rId102" display="https://ead.preditiva.ai/53789-4-como-estimar-medidas-com-poucos-dados/1391366-aula-2-conceitos-fundamentais-estimadores" xr:uid="{072F1792-2C78-504F-BC1A-C4D67BAAD08A}"/>
    <hyperlink ref="I75" r:id="rId103" display="https://ead.preditiva.ai/53789-4-como-estimar-medidas-com-poucos-dados/1391364-aula-1-conceitos-fundamentais-populacao-amostra-e-vies" xr:uid="{632992A9-B358-D843-9076-9EB446633D96}"/>
    <hyperlink ref="I74" r:id="rId104" display="https://ead.preditiva.ai/53786-3-2-prevendo-o-futuro-parte-2/1391348-aplicacao-5-avaliacao-de-idades" xr:uid="{32CD9C88-5320-A84D-A4FF-6E0F98E78328}"/>
    <hyperlink ref="I73" r:id="rId105" display="https://ead.preditiva.ai/53786-3-2-prevendo-o-futuro-parte-2/1391347-aplicacao-4-checando-a-megasena" xr:uid="{D669B007-5FF3-334A-B737-F4321585E6EF}"/>
    <hyperlink ref="I72" r:id="rId106" display="https://ead.preditiva.ai/53786-3-2-prevendo-o-futuro-parte-2/1391345-aplicacao-3-envio-de-e-mails-promocionais" xr:uid="{EA2328CB-12B3-4F41-9762-8140CF81BB97}"/>
    <hyperlink ref="I71" r:id="rId107" display="https://ead.preditiva.ai/53786-3-2-prevendo-o-futuro-parte-2/1391338-aula-8-outras-distribuicoes-de-probabilidades" xr:uid="{99242FC7-34F0-E549-91F6-E325786A32EB}"/>
    <hyperlink ref="I70" r:id="rId108" display="https://ead.preditiva.ai/53786-3-2-prevendo-o-futuro-parte-2/1391337-aula-7-distribuicao-de-probabilidades-normal" xr:uid="{CBDB32C7-C5E0-5E43-B671-40787CE0D135}"/>
    <hyperlink ref="I69" r:id="rId109" display="https://ead.preditiva.ai/53786-3-2-prevendo-o-futuro-parte-2/1391336-aula-6-variaveis-aleatorias-continuas" xr:uid="{CD8DA8D9-674C-1449-876F-A677ACE310CB}"/>
    <hyperlink ref="I68" r:id="rId110" display="https://ead.preditiva.ai/53786-3-2-prevendo-o-futuro-parte-2/1391335-aula-5-distribuicao-de-probabilidades-poisson-opcional" xr:uid="{B28B6356-05F6-6D4B-8281-F0D9E8126BD6}"/>
    <hyperlink ref="I67" r:id="rId111" display="https://ead.preditiva.ai/53786-3-2-prevendo-o-futuro-parte-2/1391334-aula-4-distribuicao-de-probabilidades-binomial-opcional" xr:uid="{1DC82D07-DDD7-DE4F-B117-19FA01D090A4}"/>
    <hyperlink ref="I66" r:id="rId112" display="https://ead.preditiva.ai/53786-3-2-prevendo-o-futuro-parte-2/1391332-aula-3-distribuicao-de-probabilidades-uniforme" xr:uid="{F96E2D8B-7B2F-654D-803E-0283624CBA67}"/>
    <hyperlink ref="I65" r:id="rId113" display="https://ead.preditiva.ai/53786-3-2-prevendo-o-futuro-parte-2/1391331-aula-2-variaveis-aleatorias-discretas" xr:uid="{3F810733-7604-D149-9E92-2C164F762709}"/>
    <hyperlink ref="I64" r:id="rId114" display="https://ead.preditiva.ai/53786-3-2-prevendo-o-futuro-parte-2/1391330-aula-1-introducao-as-variaveis-aleatorias" xr:uid="{1FCD2988-788B-CE4E-9E9F-CB33B062C254}"/>
    <hyperlink ref="I63" r:id="rId115" display="https://ead.preditiva.ai/65583-3-prevendo-o-futuro/1498129-aplicacao-2-probabilidades-na-megasena" xr:uid="{AAFBF65A-C0CA-0C4E-AA57-27B2D3AFCF54}"/>
    <hyperlink ref="I62" r:id="rId116" display="https://ead.preditiva.ai/65583-3-prevendo-o-futuro/1498127-aplicacao-1-condicoes-de-vida-da-populacao-brasileira" xr:uid="{7C4501A2-8784-8B4C-8AF9-09D4D03B4FF3}"/>
    <hyperlink ref="I61" r:id="rId117" display="https://ead.preditiva.ai/65583-3-prevendo-o-futuro/1498126-aula-6-probabilidades-uma-arma-poderosa" xr:uid="{F1F72BC7-5263-1740-A0FE-4EADC6AA8940}"/>
    <hyperlink ref="I60" r:id="rId118" display="https://ead.preditiva.ai/65583-3-prevendo-o-futuro/1498122-aula-5-teoria-axiomatica" xr:uid="{5A7ED60A-B7F1-2442-8176-6BC583F4A462}"/>
    <hyperlink ref="I59" r:id="rId119" display="https://ead.preditiva.ai/65583-3-prevendo-o-futuro/1498125-aula-4-teoria-frequentista" xr:uid="{93B28318-435F-164F-9A9C-DCF5008D79F6}"/>
    <hyperlink ref="I58" r:id="rId120" display="https://ead.preditiva.ai/65583-3-prevendo-o-futuro/1498124-aula-3-teoria-classica-o-problema-de-mounty-hall" xr:uid="{5B319722-6F57-F848-A668-ABAF4115F0A4}"/>
    <hyperlink ref="I57" r:id="rId121" display="https://ead.preditiva.ai/65583-3-prevendo-o-futuro/1498128-aula-2-teoria-classica" xr:uid="{A5488D8C-21EF-B84B-8B9E-7961A5862539}"/>
    <hyperlink ref="I56" r:id="rId122" display="https://ead.preditiva.ai/65583-3-prevendo-o-futuro/1498123-aula-1-introducao-a-probabilidade" xr:uid="{7F8426DA-FA55-C24F-836B-0BC6D7C3B5A6}"/>
    <hyperlink ref="I55" r:id="rId123" display="https://ead.preditiva.ai/53582-2-analise-de-correlacao-e-associacao/1549868-aplicacao-3-marketing-de-produto-bancario" xr:uid="{5B3851E6-61D4-B042-9831-C544F088C650}"/>
    <hyperlink ref="I54" r:id="rId124" display="https://ead.preditiva.ai/53582-2-analise-de-correlacao-e-associacao/1549848-aplicacao-2-idhm-dos-municipios-brasileiros-parte-ii" xr:uid="{101750F3-5843-1C4D-B7A6-8E251E6D27A8}"/>
    <hyperlink ref="I53" r:id="rId125" display="https://ead.preditiva.ai/53582-2-analise-de-correlacao-e-associacao/1183545-aula-15-correlacao-vs-causalidade" xr:uid="{8C4351EF-6F47-5048-A9CC-05C09AEF36A7}"/>
    <hyperlink ref="I52" r:id="rId126" display="https://ead.preditiva.ai/53582-2-analise-de-correlacao-e-associacao/1391271-aula-14-r-quadrado-coeficiente-de-determinacao" xr:uid="{B713C3FF-F17E-2742-8F13-7112FB48A28B}"/>
    <hyperlink ref="I51" r:id="rId127" display="https://ead.preditiva.ai/53582-2-analise-de-correlacao-e-associacao/1183544-aula-13-demonstracao-information-value" xr:uid="{E0AEABA3-30DA-AB42-87C9-3F19E188D7EF}"/>
    <hyperlink ref="I50" r:id="rId128" display="https://ead.preditiva.ai/53582-2-analise-de-correlacao-e-associacao/1183540-aula-12-information-value-uma-das-melhores-medidas-de-associacao" xr:uid="{D49BC318-B781-D84E-9F05-89F0109A12EC}"/>
    <hyperlink ref="I49" r:id="rId129" display="https://ead.preditiva.ai/53582-2-analise-de-correlacao-e-associacao/1183547-aula-11-demonstracao-correlacao-pearson" xr:uid="{DF08016B-2D36-3742-B9CB-FD60FF8EC5C1}"/>
    <hyperlink ref="I48" r:id="rId130" display="https://ead.preditiva.ai/53582-2-analise-de-correlacao-e-associacao/1183538-aula-10-correlacao-pearson" xr:uid="{DFA480AA-55E2-1E41-B8B3-467587688573}"/>
    <hyperlink ref="I47" r:id="rId131" display="https://ead.preditiva.ai/65572-1-como-resumir-e-interpretar-os-dados/1497963-aplicacao-2-idhm-dos-municipios-brasileiros-parte-i" xr:uid="{9617A673-58AF-6E46-9DE7-5496E98D3BE8}"/>
    <hyperlink ref="I46" r:id="rId132" display="https://ead.preditiva.ai/65572-1-como-resumir-e-interpretar-os-dados/1497957-aplicacao-1-vendas-de-produtos-bancarios" xr:uid="{B04B392F-749B-F94A-A686-B4C523CC5263}"/>
    <hyperlink ref="I45" r:id="rId133" display="https://ead.preditiva.ai/65572-1-como-resumir-e-interpretar-os-dados/1497962-aula-3-grafico-de-box-plot" xr:uid="{210083E6-9836-AA4B-B4BE-AD91D7B7D54F}"/>
    <hyperlink ref="I44" r:id="rId134" display="https://ead.preditiva.ai/65572-1-como-resumir-e-interpretar-os-dados/1497961-aula-2-grafico-de-histograma" xr:uid="{F9E24503-834C-454B-BAEF-348134037A2A}"/>
    <hyperlink ref="I43" r:id="rId135" display="https://ead.preditiva.ai/65572-1-como-resumir-e-interpretar-os-dados/1497959-aula-1-graficos-de-pizza-barras-linhas-e-pareto" xr:uid="{929C8364-F083-EE47-9075-A2AC8A28C899}"/>
    <hyperlink ref="I42" r:id="rId136" display="https://ead.preditiva.ai/65572-1-como-resumir-e-interpretar-os-dados/1497968-aula-6-desvio-padrao-e-variancia" xr:uid="{94194C4C-E6D1-AF40-8448-D3D629E24C1B}"/>
    <hyperlink ref="I41" r:id="rId137" display="https://ead.preditiva.ai/65572-1-como-resumir-e-interpretar-os-dados/1497958-aula-5-outras-medidas-de-posicao-minimo-maximo-e-os-quartis" xr:uid="{823B4E7B-C21A-844A-BEA0-098754B6732B}"/>
    <hyperlink ref="I40" r:id="rId138" display="https://ead.preditiva.ai/65572-1-como-resumir-e-interpretar-os-dados/1497967-aula-4-como-utilizar-a-mediana" xr:uid="{E83C9BBA-85EA-144B-996C-809BC78675BD}"/>
    <hyperlink ref="I39" r:id="rId139" display="https://ead.preditiva.ai/65572-1-como-resumir-e-interpretar-os-dados/1497965-aula-3-interpretando-a-media-da-forma-correta" xr:uid="{98C426C3-F336-FC46-AB73-C78418438314}"/>
    <hyperlink ref="I38" r:id="rId140" display="https://ead.preditiva.ai/65572-1-como-resumir-e-interpretar-os-dados/1497960-aula-2-tabelas-de-frequencias" xr:uid="{1254D245-9615-A64A-A0CD-E9B46749627D}"/>
    <hyperlink ref="I37" r:id="rId141" display="https://ead.preditiva.ai/65572-1-como-resumir-e-interpretar-os-dados/1497964-aula-1-introducao-e-tipos-de-variaveis" xr:uid="{7FD345F7-7A62-3040-BC06-4F5950677CAB}"/>
    <hyperlink ref="I98" r:id="rId142" display="https://ead.preditiva.ai/65759-6-regressao-linear-multipla/1502512-aula-regressao-linear-multipla" xr:uid="{8DF90019-3E39-0046-8135-5307D2442F7D}"/>
    <hyperlink ref="I160" r:id="rId143" display="https://ead.preditiva.ai/61407-12-python-para-analise-de-dados/1391429-aula-1-estruturas-de-dados" xr:uid="{3ED2BBAD-AD22-174B-BA27-B131E60D72EF}"/>
    <hyperlink ref="I174" r:id="rId144" display="https://ead.preditiva.ai/61407-12-python-para-analise-de-dados/1391442-aula-14-scikit-learn-preparacao-dos-dados" xr:uid="{80A9A7BC-01FE-8F43-BFC6-3245663F5886}"/>
    <hyperlink ref="I36" r:id="rId145" display="https://ead.preditiva.ai/53785-10-microsoft-excel-para-analytics/1368501-exercicio-3-graficos" xr:uid="{03D74354-F747-C44C-969D-CB65ADE941A5}"/>
    <hyperlink ref="I35" r:id="rId146" display="https://ead.preditiva.ai/53785-10-microsoft-excel-para-analytics/1368497-aula-32-como-escolher-o-melhor-grafico-para-sua-analise" xr:uid="{F5163E89-1473-7446-B646-E9965ABB42B1}"/>
    <hyperlink ref="I34" r:id="rId147" display="https://ead.preditiva.ai/53785-10-microsoft-excel-para-analytics/1368495-aula-31-grafico-de-cascata-waterfall" xr:uid="{EE89D3CA-549D-A740-A6CF-876A5E279562}"/>
    <hyperlink ref="I33" r:id="rId148" display="https://ead.preditiva.ai/53785-10-microsoft-excel-para-analytics/1368493-aula-30-grafico-de-dispersao-scatter-plot" xr:uid="{129FE06C-3AFB-8441-842F-92509EC43755}"/>
    <hyperlink ref="I32" r:id="rId149" display="https://ead.preditiva.ai/53785-10-microsoft-excel-para-analytics/1368492-aula-29-grafico-de-caixas-estreitas-box-plot" xr:uid="{45DEDD49-E797-9E43-B221-B811120DF9DF}"/>
    <hyperlink ref="I31" r:id="rId150" display="https://ead.preditiva.ai/53785-10-microsoft-excel-para-analytics/1368489-aula-28-grafico-de-pareto" xr:uid="{726D076C-6032-744A-BF88-4EFB711F9AB7}"/>
    <hyperlink ref="I30" r:id="rId151" display="https://ead.preditiva.ai/53785-10-microsoft-excel-para-analytics/1368488-aula-27-grafico-de-histograma" xr:uid="{1DC05B8F-A029-C840-8FEF-6A1F126993C8}"/>
    <hyperlink ref="I29" r:id="rId152" display="https://ead.preditiva.ai/53785-10-microsoft-excel-para-analytics/1368487-aula-26-graficos-de-linhas" xr:uid="{DD9C6906-7E40-D642-AA4D-5DEBE1A178FC}"/>
    <hyperlink ref="I28" r:id="rId153" display="https://ead.preditiva.ai/53785-10-microsoft-excel-para-analytics/1368484-aula-25-graficos-de-barras-e-colunas" xr:uid="{790719F9-17EA-964D-A157-E7E8E187FCE3}"/>
    <hyperlink ref="I27" r:id="rId154" display="https://ead.preditiva.ai/53785-10-microsoft-excel-para-analytics/1368481-aula-24-graficos-de-pizza-e-de-rosca" xr:uid="{E2338D61-43C4-B743-BD76-B63D44922B63}"/>
    <hyperlink ref="I26" r:id="rId155" display="https://ead.preditiva.ai/53785-10-microsoft-excel-para-analytics/1368480-aula-23-como-formatar-um-grafico" xr:uid="{22524253-841A-6540-9EBC-6211D4264E7F}"/>
    <hyperlink ref="I25" r:id="rId156" display="https://ead.preditiva.ai/53785-10-microsoft-excel-para-analytics/1368476-aula-22-como-inserir-e-quais-sao-os-tipos-de-graficos" xr:uid="{95E1926D-8FD1-304C-8508-F495DBBEBD05}"/>
    <hyperlink ref="I24" r:id="rId157" display="https://ead.preditiva.ai/53785-10-microsoft-excel-para-analytics/1368398-aula-21-medidas-resumo-media-contagens-variancia-desvio-padrao-etc" xr:uid="{91C89D0E-ACCC-514D-84EC-28D96C7729DA}"/>
    <hyperlink ref="I23" r:id="rId158" display="https://ead.preditiva.ai/53785-10-microsoft-excel-para-analytics/1368397-aula-20-tabelas-de-frequencia" xr:uid="{06972A0D-AA6C-B64E-ACBB-6862BC8F2F8F}"/>
    <hyperlink ref="I22" r:id="rId159" display="https://ead.preditiva.ai/53785-10-microsoft-excel-para-analytics/1368395-aula-19-o-que-sao-e-como-criar-uma-tabela-dinamica" xr:uid="{1BCB2962-2C45-3D42-9242-B83F26BF56AB}"/>
    <hyperlink ref="I21" r:id="rId160" display="https://ead.preditiva.ai/53785-10-microsoft-excel-para-analytics/1368390-exercicio-2-formulas-e-funcoes-do-excel" xr:uid="{F37E26F1-FD6C-2E4C-B58F-CA9B1109E6DB}"/>
    <hyperlink ref="I20" r:id="rId161" display="https://ead.preditiva.ai/53785-10-microsoft-excel-para-analytics/1368378-aula-18-erros-n-d-ref-valor-num-e-outros-problemas-comuns" xr:uid="{0E521E16-AC65-EE48-B8BD-073B793872A5}"/>
    <hyperlink ref="I19" r:id="rId162" display="https://ead.preditiva.ai/53785-10-microsoft-excel-para-analytics/1368377-aula-17-funcoes-media-cont-valores-cont-se-desvpad-p-entre-outros" xr:uid="{AFF70039-B472-DD45-AB89-2BF6638ED81B}"/>
    <hyperlink ref="I18" r:id="rId163" display="https://ead.preditiva.ai/53785-10-microsoft-excel-para-analytics/1368375-aula-16-funcoes-arred-int-entre-outros" xr:uid="{C79924AE-2EDE-EE42-9988-542A4342B48B}"/>
    <hyperlink ref="I17" r:id="rId164" display="https://ead.preditiva.ai/53785-10-microsoft-excel-para-analytics/1368374-aula-15-funcoes-data-mes-ano-dia-da-semana-entre-outros" xr:uid="{DB84E771-7F77-E04E-8760-321B6DC8C0B0}"/>
    <hyperlink ref="I16" r:id="rId165" display="https://ead.preditiva.ai/53785-10-microsoft-excel-para-analytics/1368373-aula-14-funcao-indice-e-corresp" xr:uid="{F30C4EBD-82D3-8E44-B963-EBBF80118911}"/>
    <hyperlink ref="I15" r:id="rId166" display="https://ead.preditiva.ai/53785-10-microsoft-excel-para-analytics/1368372-aula-13-funcao-procv" xr:uid="{124BC05D-6F5C-AD48-9DA0-7826AB2C194A}"/>
    <hyperlink ref="I14" r:id="rId167" display="https://ead.preditiva.ai/53785-10-microsoft-excel-para-analytics/1368371-aula-12-funcoes-e-ou-e-a-funcao-se" xr:uid="{C9740DB2-2BBF-4349-BA2B-F6F6EC30E671}"/>
    <hyperlink ref="I13" r:id="rId168" display="https://ead.preditiva.ai/53785-10-microsoft-excel-para-analytics/1368370-aula-11-funcoes-esquerda-direita-entre-outros" xr:uid="{F86FC61D-08C6-DD4F-9E6D-D5631E9CCB2F}"/>
    <hyperlink ref="I12" r:id="rId169" display="https://ead.preditiva.ai/53785-10-microsoft-excel-para-analytics/1368369-aula-10-o-que-e-uma-funcao" xr:uid="{8F89D27A-FBD0-BB4B-B64A-811A124BCEF7}"/>
    <hyperlink ref="I11" r:id="rId170" display="https://ead.preditiva.ai/53785-10-microsoft-excel-para-analytics/1368366-aula-09-validacao-de-dados" xr:uid="{E76F55C6-530F-9F47-A0D9-156BDCFFAB85}"/>
    <hyperlink ref="I10" r:id="rId171" display="https://ead.preditiva.ai/53785-10-microsoft-excel-para-analytics/1368364-aula-08-formatacao-condicional" xr:uid="{A945099C-1907-6D41-BF95-FFD5BB629F34}"/>
    <hyperlink ref="I9" r:id="rId172" display="https://ead.preditiva.ai/53785-10-microsoft-excel-para-analytics/1368352-aula-07-entendendo-as-referencias-relativas-e-absolutas" xr:uid="{C0FCA25F-C785-6C40-8839-D589E112F2FE}"/>
    <hyperlink ref="I8" r:id="rId173" display="https://ead.preditiva.ai/53785-10-microsoft-excel-para-analytics/1368349-aula-06-o-principio-das-formulas" xr:uid="{8EC6B5E3-26E6-FB42-8E58-73BC64E9EE49}"/>
    <hyperlink ref="I7" r:id="rId174" display="https://ead.preditiva.ai/53785-10-microsoft-excel-para-analytics/1368380-exercicio-1-formatacao-de-celulas-e-texto-para-colunas" xr:uid="{5A92BCE0-4AE0-AB46-83C7-BDA192EE3121}"/>
    <hyperlink ref="I6" r:id="rId175" display="https://ead.preditiva.ai/53785-10-microsoft-excel-para-analytics/1368343-aula-05-separacao-de-textos-em-colunas" xr:uid="{FBB57452-502F-AB4B-B0EC-2C79804B83F9}"/>
    <hyperlink ref="I5" r:id="rId176" display="https://ead.preditiva.ai/53785-10-microsoft-excel-para-analytics/1368342-aula-04-poderoso-recurso-colar-especial" xr:uid="{43AD69AA-1C1E-2F40-9A26-768CD25252CA}"/>
    <hyperlink ref="I4" r:id="rId177" display="https://ead.preditiva.ai/53785-10-microsoft-excel-para-analytics/1368339-aula-03-alca-de-preenchimento-e-o-uso-de-series-numericas-e-textuais" xr:uid="{D180900D-32BF-B84D-A21C-270EF32B23C8}"/>
    <hyperlink ref="I3" r:id="rId178" display="https://ead.preditiva.ai/53785-10-microsoft-excel-para-analytics/1368338-aula-02-formatacao-de-celulas-e-ir-para-especial" xr:uid="{CC59F113-9BF4-CA4E-A5AA-638A32E98091}"/>
    <hyperlink ref="I2" r:id="rId179" display="https://ead.preditiva.ai/53785-10-microsoft-excel-para-analytics/1368336-aula-01-estrutura-de-uma-planilha-e-teclas-de-funcao" xr:uid="{2277DE14-44EB-2843-B11A-610661E60A6A}"/>
    <hyperlink ref="I114" r:id="rId180" display="https://ead.preditiva.ai/65765-9-diagnostico-e-interpretacao-de-modelos/1686444-hands-on-deteccao-de-diabetes" xr:uid="{492699DF-193C-214E-8CA1-BF45D0E145E0}"/>
    <hyperlink ref="I115" r:id="rId181" display="https://ead.preditiva.ai/65765-9-diagnostico-e-interpretacao-de-modelos/1686449-hands-on-deteccao-de-diabetes-resolucao" xr:uid="{54064721-57E3-C24B-A764-D6C5E79656BF}"/>
    <hyperlink ref="I122" r:id="rId182" display="https://ead.preditiva.ai/65765-9-diagnostico-e-interpretacao-de-modelos/1686620-hands-on-custos-de-saude" xr:uid="{B3D42503-C60C-CE47-9F6B-70B501407E34}"/>
    <hyperlink ref="I127" r:id="rId183" display="https://ead.preditiva.ai/65765-9-diagnostico-e-interpretacao-de-modelos/1686726-aula-13-introducao" xr:uid="{5669BA36-ABFE-3747-9546-DC3B64A216FA}"/>
    <hyperlink ref="I128" r:id="rId184" display="https://ead.preditiva.ai/65765-9-diagnostico-e-interpretacao-de-modelos/1686727-aula-14-demonstracao-redes-neurais-artificiais" xr:uid="{129728D4-B729-A845-906F-6117BCBB60CD}"/>
    <hyperlink ref="I129" r:id="rId185" display="https://ead.preditiva.ai/65765-9-diagnostico-e-interpretacao-de-modelos/1686728-aula-15-demonstracao-random-forest" xr:uid="{A4803B6B-D5C2-DB4F-A681-41F2999C8F72}"/>
    <hyperlink ref="I130" r:id="rId186" display="https://ead.preditiva.ai/65765-9-diagnostico-e-interpretacao-de-modelos/1686729-aula-16-demonstracao-gradient-boosting" xr:uid="{95A71D97-2152-4840-B2BE-98FC3371EE6B}"/>
    <hyperlink ref="I131" r:id="rId187" display="https://ead.preditiva.ai/65765-9-diagnostico-e-interpretacao-de-modelos/1686730-hands-on-ofensores-na-concessao-de-credito" xr:uid="{65428A53-4201-654C-AA08-4856F59D088C}"/>
    <hyperlink ref="I132" r:id="rId188" display="https://ead.preditiva.ai/65765-9-diagnostico-e-interpretacao-de-modelos/1686731-hands-on-ofensores-na-concessao-de-credito-resolucao" xr:uid="{F3E44CEA-9B05-2C41-BE96-58702DC7BE06}"/>
    <hyperlink ref="I191" r:id="rId189" display="https://ead.preditiva.ai/61891-10-nivelamento-em-matematica-para-data-science/1401289-aula-1-overview" xr:uid="{B474C790-5F99-0640-A950-AD64D46B4439}"/>
    <hyperlink ref="I192" r:id="rId190" display="https://ead.preditiva.ai/61891-10-nivelamento-em-matematica-para-data-science/1401291-aula-2-definicao-e-graficos" xr:uid="{F5C763C5-DC37-D14D-A068-14D18F5FC281}"/>
    <hyperlink ref="I193" r:id="rId191" display="https://ead.preditiva.ai/61891-10-nivelamento-em-matematica-para-data-science/1401292-aula-3-funcoes-lineares-e-por-partes" xr:uid="{E6E130F8-81D6-704C-89BE-C10AC1450581}"/>
    <hyperlink ref="I194" r:id="rId192" display="https://ead.preditiva.ai/61891-10-nivelamento-em-matematica-para-data-science/1627371-aula-4-funcoes-polinomiais-e-exponenciais" xr:uid="{DF09570B-EF74-3B41-807B-B9063CC0EB3E}"/>
    <hyperlink ref="I195" r:id="rId193" display="https://ead.preditiva.ai/61891-10-nivelamento-em-matematica-para-data-science/1627373-aula-5-funcoes-compostas" xr:uid="{3AAF0ED5-0FE9-5C4A-A93E-DE2460F8CC8D}"/>
    <hyperlink ref="I196" r:id="rId194" display="https://ead.preditiva.ai/61891-10-nivelamento-em-matematica-para-data-science/1627374-aula-6-funcoes-de-duas-ou-mais-variaveis" xr:uid="{71DD3C68-3123-784A-8B89-9EB9BB301F8A}"/>
    <hyperlink ref="I197" r:id="rId195" display="https://ead.preditiva.ai/61891-10-nivelamento-em-matematica-para-data-science/1627375-aula-7-o-problema-da-tangente" xr:uid="{A6650CC9-BEA5-A24B-95E5-EF66B6A04F35}"/>
    <hyperlink ref="I198" r:id="rId196" display="https://ead.preditiva.ai/61891-10-nivelamento-em-matematica-para-data-science/1627376-aula-8-o-limite-de-uma-funcao" xr:uid="{72CDCAA1-9C81-8141-8083-8105D4098EEB}"/>
    <hyperlink ref="I199" r:id="rId197" display="https://ead.preditiva.ai/61891-10-nivelamento-em-matematica-para-data-science/1627377-aula-9-continuidade" xr:uid="{ADB39F10-83A6-354C-91C6-76480C262578}"/>
    <hyperlink ref="I200" r:id="rId198" display="https://ead.preditiva.ai/61891-10-nivelamento-em-matematica-para-data-science/1627378-aula-10-a-derivada-como-uma-funcao" xr:uid="{15DED51F-2AAD-0247-AFB2-C594C5A0CF8C}"/>
    <hyperlink ref="I201" r:id="rId199" display="https://ead.preditiva.ai/61891-10-nivelamento-em-matematica-para-data-science/1627379-aula-11-regras-de-diferenciacao" xr:uid="{07A38CC4-28C4-5740-BE83-33A35974290D}"/>
    <hyperlink ref="I202" r:id="rId200" display="https://ead.preditiva.ai/61891-10-nivelamento-em-matematica-para-data-science/1627380-aula-12-derivadas-parciais" xr:uid="{F553A1B0-D4A1-904F-B8BD-454268506FE5}"/>
    <hyperlink ref="I203" r:id="rId201" display="https://ead.preditiva.ai/61891-10-nivelamento-em-matematica-para-data-science/1627381-aula-13-derivadas-direcionais" xr:uid="{A8B3775D-424E-4F42-A113-FDAE4FF99CD0}"/>
    <hyperlink ref="I204" r:id="rId202" display="https://ead.preditiva.ai/61891-10-nivelamento-em-matematica-para-data-science/1627383-aula-14-valores-maximos-e-minimos-de-funcoes" xr:uid="{E9768C36-714D-3F43-ACF0-E92B77B07288}"/>
    <hyperlink ref="I206" r:id="rId203" display="https://ead.preditiva.ai/61891-10-nivelamento-em-matematica-para-data-science/1627384-aula-15-matrizes-e-suas-operacoes" xr:uid="{5516C259-2FD7-0247-9022-9B712BB5FBB4}"/>
    <hyperlink ref="I207" r:id="rId204" display="https://ead.preditiva.ai/61891-10-nivelamento-em-matematica-para-data-science/1627385-aula-16-sistemas-lineares" xr:uid="{88677371-CBA8-CE40-90A4-D59A15245904}"/>
    <hyperlink ref="I208" r:id="rId205" display="https://ead.preditiva.ai/61891-10-nivelamento-em-matematica-para-data-science/1627386-aula-17-vetores-e-suas-operacoes" xr:uid="{D49F1BAA-BB06-8C46-8ED4-128483DEF8BD}"/>
    <hyperlink ref="I209" r:id="rId206" display="https://ead.preditiva.ai/61891-10-nivelamento-em-matematica-para-data-science/1627391-aula-18-overview-sobre-otimizacao" xr:uid="{928775C3-C83D-5446-82D2-5B4218C993BD}"/>
    <hyperlink ref="I210" r:id="rId207" display="https://ead.preditiva.ai/61891-10-nivelamento-em-matematica-para-data-science/1627394-aula-19-o-metodo-simplex" xr:uid="{4A80F3B2-270C-254D-B010-F52F7F596632}"/>
    <hyperlink ref="I211" r:id="rId208" display="https://ead.preditiva.ai/61891-10-nivelamento-em-matematica-para-data-science/1627397-aula-20-otimizacao-nao-linear" xr:uid="{64CAD94A-4B2E-1C4E-9729-6D0B581BE9B6}"/>
    <hyperlink ref="I212" r:id="rId209" display="https://ead.preditiva.ai/61891-10-nivelamento-em-matematica-para-data-science/1627398-aula-21-algoritmos-de-descida" xr:uid="{F872FB69-BF2E-C24B-8334-18D1895F3134}"/>
    <hyperlink ref="I213" r:id="rId210" display="https://ead.preditiva.ai/61891-10-nivelamento-em-matematica-para-data-science/1627399-aula-22-o-metodo-gradient-descent" xr:uid="{7ED0AAE2-28A9-B045-8706-3FEF0366FF94}"/>
    <hyperlink ref="I215" r:id="rId211" display="https://ead.preditiva.ai/61410-11-regressao-linear-multipla-no-python/1391481-aula-2-multiplas-variaveis-explicativas" xr:uid="{65C0675A-C9E1-7045-950E-865620D2FAFD}"/>
    <hyperlink ref="I216" r:id="rId212" display="https://ead.preditiva.ai/61410-11-regressao-linear-multipla-no-python/1391482-aula-3-multicolinearidade" xr:uid="{42C3B4CB-F774-A340-9D63-2DBE311718BF}"/>
    <hyperlink ref="I217" r:id="rId213" display="https://ead.preditiva.ai/61410-11-regressao-linear-multipla-no-python/1391483-hands-on-1-multicolinearidade" xr:uid="{729A8DBE-D3F5-384F-A258-4F8623691651}"/>
    <hyperlink ref="I218" r:id="rId214" display="https://ead.preditiva.ai/61410-11-regressao-linear-multipla-no-python/1391485-aula-4-utilizando-variaveis-explicativas-qualitativas" xr:uid="{ACA56F87-65AA-414F-B932-33853CC0B524}"/>
    <hyperlink ref="I219" r:id="rId215" display="https://ead.preditiva.ai/61410-11-regressao-linear-multipla-no-python/1391486-hands-on-2-variaveis-explicativas-qualitativas" xr:uid="{399FABD0-7339-384F-A1B1-1D7C0E7B4C9D}"/>
    <hyperlink ref="I220" r:id="rId216" display="https://ead.preditiva.ai/61410-11-regressao-linear-multipla-no-python/1391494-aula-5-diagnostico-do-modelo" xr:uid="{36F92732-41AA-584E-AEC5-7B3FBA44F742}"/>
    <hyperlink ref="I221" r:id="rId217" display="https://ead.preditiva.ai/61410-11-regressao-linear-multipla-no-python/1391495-hands-on-3-diagnostico-do-modelo" xr:uid="{27B3D14D-A7B0-4C4A-9D29-38D5EC09EB6B}"/>
    <hyperlink ref="I222" r:id="rId218" display="https://ead.preditiva.ai/61410-11-regressao-linear-multipla-no-python/1391484-hands-on-1-multicolinearidade-resolucao" xr:uid="{A9C2C8E6-335C-194D-97CA-BD7565FCDB81}"/>
    <hyperlink ref="I223" r:id="rId219" display="https://ead.preditiva.ai/61410-11-regressao-linear-multipla-no-python/1391487-hands-on-2-variaveis-explicativas-qualitativas-resolucao" xr:uid="{40EFD9CF-188B-F346-8462-5F8C3EA4A587}"/>
    <hyperlink ref="I224" r:id="rId220" display="https://ead.preditiva.ai/61410-11-regressao-linear-multipla-no-python/1391496-hands-on-3-diagnostico-do-modelo-resolucao" xr:uid="{47219BBD-B0CE-8743-9998-1F19F18F4BEB}"/>
    <hyperlink ref="I225" r:id="rId221" display="https://ead.preditiva.ai/61409-12-preparacao-de-dados-no-python/1391471-aula-1-valores-faltantes-ou-missing-values" xr:uid="{672FDE35-F009-074A-8820-AA7B88BCC732}"/>
    <hyperlink ref="I226" r:id="rId222" display="https://ead.preditiva.ai/61409-12-preparacao-de-dados-no-python/1391473-aula-2-dados-duplicados" xr:uid="{A8677BAF-DADB-0545-8E3B-8A5EED025CD4}"/>
    <hyperlink ref="I227" r:id="rId223" display="https://ead.preditiva.ai/61409-12-preparacao-de-dados-no-python/1391474-aula-3-conversao-de-tipos-de-dados" xr:uid="{570EF561-DAFC-704F-8FC5-848C11D2B403}"/>
    <hyperlink ref="I228" r:id="rId224" display="https://ead.preditiva.ai/61409-12-preparacao-de-dados-no-python/1391475-aula-4-transformacoes-de-colunas-e-linhas" xr:uid="{D5010DBB-F14F-AD45-B5BC-24F30242C303}"/>
    <hyperlink ref="I229" r:id="rId225" display="https://ead.preditiva.ai/61409-12-preparacao-de-dados-no-python/1391476-aula-5-estudo-de-caso-qualidade-na-central-de-atendimento" xr:uid="{D71FF0FB-3DE7-4F4C-B63C-FC49706BA82A}"/>
    <hyperlink ref="I232" r:id="rId226" display="https://ead.preditiva.ai/61746-13-arvores-de-decisao/1398668-aula-2-modelos-de-classificacao" xr:uid="{F6C895AD-38A6-2E49-8966-1A41CDFBBC95}"/>
    <hyperlink ref="I233" r:id="rId227" display="https://ead.preditiva.ai/61746-13-arvores-de-decisao/1398669-aula-3-modelos-de-classificacao-demonstracao" xr:uid="{15675044-AA47-B346-BAE3-FCA416CB5E2F}"/>
    <hyperlink ref="I234" r:id="rId228" display="https://ead.preditiva.ai/61746-13-arvores-de-decisao/1398671-hands-on-1-probabilidade-de-turnover" xr:uid="{DA9B78FB-4F7E-F145-81E6-6ECE07D0C3BD}"/>
    <hyperlink ref="I235" r:id="rId229" display="https://ead.preditiva.ai/61746-13-arvores-de-decisao/1398672-aula-4-modelos-de-regressao" xr:uid="{94B87B88-E603-3740-8222-93BA3DA5BAD2}"/>
    <hyperlink ref="I236" r:id="rId230" display="https://ead.preditiva.ai/61746-13-arvores-de-decisao/1398678-hands-on-2-salario-dos-colaboradores" xr:uid="{5EA500F0-1078-D644-988B-C89DAE458145}"/>
    <hyperlink ref="I237" r:id="rId231" display="https://ead.preditiva.ai/61746-13-arvores-de-decisao/1398687-aula-5-confiabilidade-e-generalizacao" xr:uid="{543A9610-8CD1-2C41-AC7D-C9629B4828AB}"/>
    <hyperlink ref="I238" r:id="rId232" display="https://ead.preditiva.ai/61746-13-arvores-de-decisao/1398692-hands-on-3-confiabilidade-e-generalizacao" xr:uid="{4F260017-EDB2-7A42-89C7-66E486CAD630}"/>
    <hyperlink ref="I239" r:id="rId233" display="https://ead.preditiva.ai/61746-13-arvores-de-decisao/1398693-hands-on-1-probabilidade-de-turnover-resolucao" xr:uid="{C213A3B8-F4B4-5341-BECD-9B743EBF314F}"/>
    <hyperlink ref="I240" r:id="rId234" display="https://ead.preditiva.ai/61746-13-arvores-de-decisao/1398694-hands-on-2-salario-dos-colaboradores-resolucao" xr:uid="{EA70DCA3-0AC8-9A46-9A37-593CE2BBF1C8}"/>
    <hyperlink ref="I241" r:id="rId235" display="https://ead.preditiva.ai/61746-13-arvores-de-decisao/1398695-hands-on-3-confiabilidade-e-generalizacao" xr:uid="{6AF71940-E5E7-A44C-AA5F-0905140D13DC}"/>
    <hyperlink ref="I243" r:id="rId236" display="https://ead.preditiva.ai/61748-14-ensemble-de-modelos-no-python/1398697-hands-on-1-melhorando-a-concessao-de-credito" xr:uid="{6EB3F934-259C-214C-B8ED-2E9F06D7134B}"/>
    <hyperlink ref="I244" r:id="rId237" display="https://ead.preditiva.ai/61748-14-ensemble-de-modelos-no-python/1398699-aula-2-random-forest-e-outros" xr:uid="{3A56108A-E4B3-C947-BEF2-BA5BB007326A}"/>
    <hyperlink ref="I245" r:id="rId238" display="https://ead.preditiva.ai/61748-14-ensemble-de-modelos-no-python/1398700-hands-on-2-classificando-a-renda-dos-norte-americanos" xr:uid="{809623F2-70E9-B74B-A103-D2AF3AC20BB2}"/>
    <hyperlink ref="I246" r:id="rId239" display="https://ead.preditiva.ai/61748-14-ensemble-de-modelos-no-python/1398703-aula-3-adaboost-e-gradient-boosting" xr:uid="{AD8174C4-3510-AF41-B7FF-DB07D34D7FB9}"/>
    <hyperlink ref="I247" r:id="rId240" display="https://ead.preditiva.ai/61748-14-ensemble-de-modelos-no-python/1398704-aula-4-demonstracao" xr:uid="{B925B71D-5775-C748-8809-A7E1437C8912}"/>
    <hyperlink ref="I248" r:id="rId241" display="https://ead.preditiva.ai/61748-14-ensemble-de-modelos-no-python/1398707-hands-on-3-recomendando-bons-vinhos" xr:uid="{4055BDB8-6E63-1949-AC90-A4D01C3A5C15}"/>
    <hyperlink ref="I249" r:id="rId242" display="https://ead.preditiva.ai/61748-14-ensemble-de-modelos-no-python/1398698-hands-on-1-melhorando-a-concessao-de-credito-resolucao" xr:uid="{06184090-0E64-6D46-9E65-CD59C30EB4C5}"/>
    <hyperlink ref="I250" r:id="rId243" display="https://ead.preditiva.ai/61748-14-ensemble-de-modelos-no-python/1398701-hands-on-2-classificando-a-renda-dos-norte-americanos-resolucao" xr:uid="{9A16FCFD-4E0F-6F4B-8E5C-70DC6C1F928C}"/>
    <hyperlink ref="I251" r:id="rId244" display="https://ead.preditiva.ai/61748-14-ensemble-de-modelos-no-python/1398709-hands-on-3-recomendando-bons-vinhos-resolucao" xr:uid="{F311A948-C00E-6F43-A41B-07D4BBBF5532}"/>
    <hyperlink ref="I252" r:id="rId245" display="https://ead.preditiva.ai/70702-15-clusterizacao/1626146-aula-1-k-means-introducao" xr:uid="{881DC4B7-A172-B640-8E06-0BF532D2B05F}"/>
    <hyperlink ref="I253" r:id="rId246" display="https://ead.preditiva.ai/70702-15-clusterizacao/1626147-aula-2-k-means-demonstracao" xr:uid="{8FA22706-2852-8141-A8D6-AD01A5EA8644}"/>
    <hyperlink ref="I254" r:id="rId247" display="https://ead.preditiva.ai/70702-15-clusterizacao/1626148-hands-on-pagamento-de-divida-resolucao" xr:uid="{01FABF82-4E89-4D4A-8984-7DD0E153C66E}"/>
    <hyperlink ref="I255" r:id="rId248" display="https://ead.preditiva.ai/70701-16-reducao-de-dimensionalidade/1626140-aula-1-pca-introducao" xr:uid="{DA399860-BB29-6A46-9C26-48FF51CD57EF}"/>
    <hyperlink ref="I256" r:id="rId249" display="https://ead.preditiva.ai/70701-16-reducao-de-dimensionalidade/1626141-aula-2-pca-demonstracao" xr:uid="{FBEB2BE0-144F-C74F-98B1-58D6E462DFF1}"/>
    <hyperlink ref="I257" r:id="rId250" display="https://ead.preditiva.ai/70701-16-reducao-de-dimensionalidade/1626142-aula-3-autoencoder" xr:uid="{71026D71-A686-3C46-9D7F-0D203EBC12C3}"/>
    <hyperlink ref="I258" r:id="rId251" display="https://ead.preditiva.ai/70701-16-reducao-de-dimensionalidade/1626143-aula-4-t-sne" xr:uid="{98B4096D-6920-9C44-B122-B1BD60DDA4D9}"/>
    <hyperlink ref="I259" r:id="rId252" display="https://ead.preditiva.ai/70701-16-reducao-de-dimensionalidade/1626145-hands-on-grupos-de-vinhos" xr:uid="{F9A00589-89BE-774E-B147-7AF8EE1D5548}"/>
    <hyperlink ref="I260" r:id="rId253" display="https://ead.preditiva.ai/70697-17-deteccao-de-outliers-anomalias/1626094-aula-1-isolation-forest-introducao" xr:uid="{30012C27-7F03-DC48-90AE-907BBB7588AE}"/>
    <hyperlink ref="I261" r:id="rId254" display="https://ead.preditiva.ai/70697-17-deteccao-de-outliers-anomalias/1626096-aula-2-isolation-forest-demonstracao" xr:uid="{F5D4F924-1710-E440-A677-65F515BE3C23}"/>
    <hyperlink ref="I262" r:id="rId255" display="https://ead.preditiva.ai/70697-17-deteccao-de-outliers-anomalias/1626098-aula-3-autoencoder" xr:uid="{4B37F4AD-D470-074C-A7A7-277DCDEBADB1}"/>
    <hyperlink ref="I263" r:id="rId256" display="https://ead.preditiva.ai/70697-17-deteccao-de-outliers-anomalias/1626102-hands-on-prevencao-a-fraudes" xr:uid="{7590A735-D468-5B4F-9DCE-4C67E971D30A}"/>
    <hyperlink ref="I265" r:id="rId257" display="https://ead.preditiva.ai/61747-18-redes-neurais-artificiais-no-python/1686402-aula-2-hiperparametros-e-aprendizagem" xr:uid="{3D5E4620-20B2-9E4A-A32A-1011579A3A3F}"/>
    <hyperlink ref="I266" r:id="rId258" display="https://ead.preditiva.ai/61747-18-redes-neurais-artificiais-no-python/1686404-aula-3-modelos-de-classificacao" xr:uid="{38A7E031-9C0E-7E42-BF5B-031D537BA038}"/>
    <hyperlink ref="I268" r:id="rId259" display="https://ead.preditiva.ai/61747-18-redes-neurais-artificiais-no-python/1686405-aula-4-modelos-de-regressao" xr:uid="{D9413FF5-81E8-8B43-9A45-B382DA106BD3}"/>
    <hyperlink ref="I269" r:id="rId260" display="https://ead.preditiva.ai/61747-18-redes-neurais-artificiais-no-python/1686407-hands-on-probabilidade-de-doenca-cardiaca" xr:uid="{79A39FEE-CB7D-DD40-B010-C199F5CA5194}"/>
    <hyperlink ref="I270" r:id="rId261" display="https://ead.preditiva.ai/61747-18-redes-neurais-artificiais-no-python/1686408-hands-on-probabilidade-de-doenca-cardiaca-resolvido" xr:uid="{9648552C-E5F3-BF4E-8062-1EE95F2D25BA}"/>
    <hyperlink ref="I272" r:id="rId262" display="https://ead.preditiva.ai/74307-19-otimizacao-de-modelos/1737893-aula-2-random-search" xr:uid="{983F95AD-1BE9-F548-9887-92F39C1AD257}"/>
    <hyperlink ref="I273" r:id="rId263" display="https://ead.preditiva.ai/74307-19-otimizacao-de-modelos/1737894-aula-3-grid-search" xr:uid="{1D20E493-055B-D649-81B2-A5926D72FABD}"/>
    <hyperlink ref="I274" r:id="rId264" display="https://ead.preditiva.ai/74307-19-otimizacao-de-modelos/1737895-aula-4-bayesian-optimization" xr:uid="{D63C4185-E046-CD44-8DE7-D9D3A2F60D06}"/>
    <hyperlink ref="I275" r:id="rId265" display="https://ead.preditiva.ai/74307-19-otimizacao-de-modelos/1737896-hands-on-estado-da-arte-na-concessao-de-credito" xr:uid="{2F1B3593-E91A-F94A-B4F6-5E3358739B6A}"/>
    <hyperlink ref="I276" r:id="rId266" display="https://ead.preditiva.ai/74307-19-otimizacao-de-modelos/1737897-hands-on-estado-da-arte-na-concessao-de-credito-resolucao" xr:uid="{63744343-D8F5-7747-B543-06E2D07E2C3A}"/>
    <hyperlink ref="I277" r:id="rId267" display="https://ead.preditiva.ai/74307-19-otimizacao-de-modelos/1686758-aula-5-introducao" xr:uid="{85B79B25-8B86-874E-9839-F09B204CD421}"/>
    <hyperlink ref="I278" r:id="rId268" display="https://ead.preditiva.ai/74307-19-otimizacao-de-modelos/1686759-aula-6-oversampling" xr:uid="{5980E442-E911-4D4D-810D-A038CE6497D9}"/>
    <hyperlink ref="I279" r:id="rId269" display="https://ead.preditiva.ai/74307-19-otimizacao-de-modelos/1686760-aula-7-undersampling" xr:uid="{B1F9D375-DA7D-D84E-B38B-AA46AA869B4A}"/>
    <hyperlink ref="I280" r:id="rId270" display="https://ead.preditiva.ai/74307-19-otimizacao-de-modelos/1686761-hands-on-fraudes-no-cartao-de-credito" xr:uid="{CF3467B6-9C14-4247-A154-7A56664A29F8}"/>
    <hyperlink ref="I282" r:id="rId271" display="https://ead.preditiva.ai/70698-20-processamento-de-linguagem-natural-nlp/1626113-aula-2-preparacao-dos-textos" xr:uid="{BFB41F17-232C-214A-B74A-D5E57EA6813B}"/>
    <hyperlink ref="I283" r:id="rId272" display="https://ead.preditiva.ai/70698-20-processamento-de-linguagem-natural-nlp/1626114-aula-3-preparacao-dos-textos-demonstracao" xr:uid="{00A8766D-128E-1049-B383-AE66AE1211F6}"/>
    <hyperlink ref="I284" r:id="rId273" display="https://ead.preditiva.ai/70698-20-processamento-de-linguagem-natural-nlp/1626115-aula-4-analise-exploratoria-dos-textos" xr:uid="{36B8A98D-4AF3-FA42-8D73-8E2005B8C85D}"/>
    <hyperlink ref="I285" r:id="rId274" display="https://ead.preditiva.ai/70698-20-processamento-de-linguagem-natural-nlp/1626116-aula-5-representacao-bag-of-words" xr:uid="{624CD005-3209-9A44-BD5F-15DF90870A8A}"/>
    <hyperlink ref="I286" r:id="rId275" display="https://ead.preditiva.ai/70698-20-processamento-de-linguagem-natural-nlp/1626117-aula-6-representacao-tf-idf" xr:uid="{5F1018D3-20AD-5542-BA40-8B1A61959BC6}"/>
    <hyperlink ref="I287" r:id="rId276" display="https://ead.preditiva.ai/70698-20-processamento-de-linguagem-natural-nlp/1626118-aula-7-representacao-word2vec-introducao" xr:uid="{7494522B-17DC-5547-986B-32036A9766E5}"/>
    <hyperlink ref="I288" r:id="rId277" display="https://ead.preditiva.ai/70698-20-processamento-de-linguagem-natural-nlp/1626119-aula-8-representacao-word2vec-demonstracao" xr:uid="{315504DA-00F7-E64F-9FD6-4D332F9513C8}"/>
    <hyperlink ref="I289" r:id="rId278" display="https://ead.preditiva.ai/70698-20-processamento-de-linguagem-natural-nlp/1626122-aula-9-modelos-de-classificacao-utilizando-textos" xr:uid="{71708C46-7037-C445-AD8E-CA2AD7EAECED}"/>
    <hyperlink ref="I290" r:id="rId279" display="https://ead.preditiva.ai/70698-20-processamento-de-linguagem-natural-nlp/1626124-hands-on-analise-de-sentimentos" xr:uid="{8A32EE0B-69BC-A843-B5E2-75C65F009D6C}"/>
    <hyperlink ref="I292" r:id="rId280" display="https://ead.preditiva.ai/70700-21-visao-computacional-computer-vision/1626128-aula-2-max-pooling-e-classificacao-de-imagens" xr:uid="{0BFEBCC3-99E0-8A4D-90CB-D8F3D9288F0A}"/>
    <hyperlink ref="I293" r:id="rId281" display="https://ead.preditiva.ai/70700-21-visao-computacional-computer-vision/1626129-aula-3-demonstracao" xr:uid="{84949A61-D96E-3D42-96AD-17D1940CB9D7}"/>
    <hyperlink ref="I294" r:id="rId282" display="https://ead.preditiva.ai/70700-21-visao-computacional-computer-vision/1626131-hands-on-digitos-em-arabe" xr:uid="{03E8B6D3-5D07-D040-AD5C-D789F22D568C}"/>
    <hyperlink ref="I295" r:id="rId283" display="https://ead.preditiva.ai/70700-21-visao-computacional-computer-vision/1626132-hands-on-digitos-em-arabe-resolucao" xr:uid="{DF52EB8A-D5D3-8640-968B-F88E49BE08AE}"/>
    <hyperlink ref="I296" r:id="rId284" display="https://ead.preditiva.ai/70700-21-visao-computacional-computer-vision/1626134-aula-4-outras-aplicacoes-de-computer-vision" xr:uid="{8CD51BD3-BFDE-7B43-AE50-CAA8B2805325}"/>
    <hyperlink ref="I297" r:id="rId285" display="https://ead.preditiva.ai/70700-21-visao-computacional-computer-vision/1626136-aula-5-demonstracao-de-reconhecimento-facial" xr:uid="{05B786F0-8343-2B4E-A57B-4D2143B758E6}"/>
    <hyperlink ref="I205" r:id="rId286" display="https://ead.preditiva.ai/61891-10-nivelamento-em-matematica-para-data-science/1627383-aula-14-valores-maximos-e-minimos-de-funcoes" xr:uid="{F14A2558-E548-354B-A5A6-F7683B16C394}"/>
    <hyperlink ref="I230" r:id="rId287" display="https://ead.preditiva.ai/61409-12-preparacao-de-dados-no-python/1391476-aula-5-estudo-de-caso-qualidade-na-central-de-atendimento" xr:uid="{81DB5E80-E99D-FB4B-A77B-6D6C25052112}"/>
    <hyperlink ref="I267" r:id="rId288" display="https://ead.preditiva.ai/61747-18-redes-neurais-artificiais-no-python/1686404-aula-3-modelos-de-classificacao" xr:uid="{F246E456-578D-8647-9C35-BC0F3C0E5457}"/>
    <hyperlink ref="I116" r:id="rId289" display="https://ead.preditiva.ai/65765-9-diagnostico-e-interpretacao-de-modelos/1686449-hands-on-deteccao-de-diabetes-resolucao" xr:uid="{A0559A27-9C3D-EB41-A20E-D67975094EE7}"/>
    <hyperlink ref="I214" r:id="rId290" xr:uid="{B83A568D-827E-884C-9446-620DBE6166DB}"/>
    <hyperlink ref="I231" r:id="rId291" xr:uid="{7762C971-C40E-CC4F-BB95-CB35294D2FA1}"/>
    <hyperlink ref="I242" r:id="rId292" xr:uid="{0A3F4ABE-09A4-2845-92E7-E8E5A2EB56BB}"/>
    <hyperlink ref="I264" r:id="rId293" xr:uid="{4E9757F6-4F3C-1941-96C9-7377A9224D23}"/>
    <hyperlink ref="I271" r:id="rId294" xr:uid="{E1DA2627-7C21-B54B-9943-A618DE1B0655}"/>
    <hyperlink ref="I281" r:id="rId295" xr:uid="{0EF4255A-45AF-CE49-8E84-E0FE0A7B590A}"/>
    <hyperlink ref="I291" r:id="rId296" xr:uid="{9B17B382-1F74-F54A-B34F-1155A103FA73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1D67A-3298-B541-BE78-0BC6C6FA99A9}">
  <sheetPr codeName="Planilha4"/>
  <dimension ref="B1:I24"/>
  <sheetViews>
    <sheetView showGridLines="0" zoomScaleNormal="100" workbookViewId="0">
      <selection activeCell="B9" sqref="B9"/>
    </sheetView>
  </sheetViews>
  <sheetFormatPr baseColWidth="10" defaultRowHeight="26" x14ac:dyDescent="0.3"/>
  <cols>
    <col min="1" max="1" width="7" customWidth="1"/>
    <col min="2" max="2" width="27.83203125" style="25" customWidth="1"/>
    <col min="3" max="3" width="20.33203125" style="25" customWidth="1"/>
    <col min="4" max="4" width="48.83203125" style="25" customWidth="1"/>
    <col min="5" max="5" width="18.5" style="26" customWidth="1"/>
    <col min="6" max="6" width="53.83203125" style="25" customWidth="1"/>
    <col min="7" max="7" width="24.1640625" style="25" customWidth="1"/>
    <col min="8" max="8" width="13.1640625" style="25" bestFit="1" customWidth="1"/>
    <col min="9" max="9" width="21.5" style="20" customWidth="1"/>
  </cols>
  <sheetData>
    <row r="1" spans="2:9" ht="87" customHeight="1" x14ac:dyDescent="0.3">
      <c r="B1" s="10"/>
      <c r="C1" s="10"/>
      <c r="D1" s="10"/>
      <c r="E1" s="14"/>
      <c r="F1" s="14"/>
      <c r="G1" s="14"/>
      <c r="H1" s="14"/>
      <c r="I1" s="14"/>
    </row>
    <row r="2" spans="2:9" ht="38" customHeight="1" x14ac:dyDescent="0.3">
      <c r="B2" s="10"/>
      <c r="C2" s="10"/>
      <c r="D2" s="10"/>
      <c r="E2" s="11"/>
      <c r="F2" s="10"/>
      <c r="G2" s="10"/>
      <c r="H2" s="10"/>
      <c r="I2"/>
    </row>
    <row r="3" spans="2:9" x14ac:dyDescent="0.3">
      <c r="B3" s="52" t="s">
        <v>323</v>
      </c>
      <c r="C3" s="10"/>
      <c r="D3" s="13" t="s">
        <v>179</v>
      </c>
      <c r="E3" s="11"/>
      <c r="F3" s="13" t="s">
        <v>324</v>
      </c>
      <c r="G3" s="10"/>
      <c r="H3" s="10"/>
      <c r="I3"/>
    </row>
    <row r="4" spans="2:9" x14ac:dyDescent="0.3">
      <c r="B4" s="52"/>
      <c r="C4" s="10"/>
      <c r="D4" s="12">
        <f>MIN(B10:B1048)</f>
        <v>0</v>
      </c>
      <c r="E4" s="11"/>
      <c r="F4" s="16">
        <f>SUM(G10:G2400)-SUMIF(I10:I2400,"Sim",G10:G2400)</f>
        <v>0</v>
      </c>
      <c r="G4" s="10"/>
      <c r="H4" s="10"/>
      <c r="I4"/>
    </row>
    <row r="5" spans="2:9" ht="11" customHeight="1" x14ac:dyDescent="0.3">
      <c r="B5" s="10"/>
      <c r="C5" s="10"/>
      <c r="D5" s="10"/>
      <c r="E5" s="11"/>
      <c r="F5" s="10"/>
      <c r="G5" s="10"/>
      <c r="H5" s="10"/>
      <c r="I5"/>
    </row>
    <row r="6" spans="2:9" x14ac:dyDescent="0.3">
      <c r="B6" s="51"/>
      <c r="C6" s="10"/>
      <c r="D6" s="13" t="s">
        <v>325</v>
      </c>
      <c r="E6" s="11"/>
      <c r="F6" s="13" t="s">
        <v>180</v>
      </c>
      <c r="G6" s="10"/>
      <c r="H6" s="10"/>
      <c r="I6"/>
    </row>
    <row r="7" spans="2:9" ht="31" x14ac:dyDescent="0.35">
      <c r="B7" s="51"/>
      <c r="C7" s="8"/>
      <c r="D7" s="15">
        <f>MAX(B10:B1048)</f>
        <v>0</v>
      </c>
      <c r="E7" s="9"/>
      <c r="F7" s="17" t="e">
        <f>COUNTIF(I10:I1048,"Sim")/COUNTA(I10:I1048)</f>
        <v>#DIV/0!</v>
      </c>
      <c r="G7" s="10"/>
      <c r="H7" s="10"/>
      <c r="I7"/>
    </row>
    <row r="8" spans="2:9" ht="31" customHeight="1" thickBot="1" x14ac:dyDescent="0.35">
      <c r="B8" s="8"/>
      <c r="C8" s="8"/>
      <c r="D8" s="8"/>
      <c r="E8" s="9"/>
      <c r="F8" s="8"/>
      <c r="G8" s="10"/>
      <c r="H8" s="10"/>
      <c r="I8"/>
    </row>
    <row r="9" spans="2:9" ht="66" customHeight="1" thickBot="1" x14ac:dyDescent="0.25">
      <c r="B9" s="30" t="s">
        <v>33</v>
      </c>
      <c r="C9" s="31" t="s">
        <v>34</v>
      </c>
      <c r="D9" s="30" t="s">
        <v>26</v>
      </c>
      <c r="E9" s="31" t="s">
        <v>35</v>
      </c>
      <c r="F9" s="30" t="s">
        <v>36</v>
      </c>
      <c r="G9" s="31" t="s">
        <v>37</v>
      </c>
      <c r="H9" s="30" t="s">
        <v>39</v>
      </c>
      <c r="I9" s="32" t="s">
        <v>177</v>
      </c>
    </row>
    <row r="10" spans="2:9" s="6" customFormat="1" ht="55" customHeight="1" x14ac:dyDescent="0.2">
      <c r="B10" s="33"/>
      <c r="C10" s="34"/>
      <c r="D10" s="35"/>
      <c r="E10" s="36"/>
      <c r="F10" s="36"/>
      <c r="G10" s="37"/>
      <c r="H10" s="38"/>
      <c r="I10" s="40"/>
    </row>
    <row r="11" spans="2:9" ht="30" x14ac:dyDescent="0.3">
      <c r="B11" s="24"/>
      <c r="C11" s="18"/>
      <c r="D11" s="35"/>
      <c r="E11" s="36"/>
      <c r="F11" s="36"/>
      <c r="G11" s="37"/>
      <c r="H11" s="38"/>
      <c r="I11" s="39"/>
    </row>
    <row r="12" spans="2:9" ht="30" x14ac:dyDescent="0.3">
      <c r="B12" s="24"/>
      <c r="C12" s="18"/>
      <c r="D12" s="19"/>
      <c r="E12" s="20"/>
      <c r="F12" s="20"/>
      <c r="G12" s="21"/>
      <c r="H12" s="22"/>
      <c r="I12" s="23"/>
    </row>
    <row r="13" spans="2:9" ht="30" x14ac:dyDescent="0.3">
      <c r="B13" s="24"/>
      <c r="C13" s="18"/>
      <c r="D13" s="19"/>
      <c r="E13" s="20"/>
      <c r="F13" s="20"/>
      <c r="G13" s="21"/>
      <c r="H13" s="22"/>
      <c r="I13" s="23"/>
    </row>
    <row r="14" spans="2:9" ht="30" x14ac:dyDescent="0.3">
      <c r="B14" s="24"/>
      <c r="C14" s="18"/>
      <c r="D14" s="19"/>
      <c r="E14" s="20"/>
      <c r="F14" s="20"/>
      <c r="G14" s="21"/>
      <c r="H14" s="22"/>
      <c r="I14" s="23"/>
    </row>
    <row r="15" spans="2:9" ht="30" x14ac:dyDescent="0.3">
      <c r="B15" s="24"/>
      <c r="C15" s="18"/>
      <c r="D15" s="19"/>
      <c r="E15" s="20"/>
      <c r="F15" s="20"/>
      <c r="G15" s="21"/>
      <c r="H15" s="22"/>
      <c r="I15" s="23"/>
    </row>
    <row r="16" spans="2:9" ht="30" x14ac:dyDescent="0.3">
      <c r="B16" s="24"/>
      <c r="C16" s="18"/>
      <c r="D16" s="19"/>
      <c r="E16" s="20"/>
      <c r="F16" s="20"/>
      <c r="G16" s="21"/>
      <c r="H16" s="22"/>
      <c r="I16" s="23"/>
    </row>
    <row r="17" spans="2:9" ht="30" x14ac:dyDescent="0.3">
      <c r="B17" s="24"/>
      <c r="C17" s="18"/>
      <c r="D17" s="19"/>
      <c r="E17" s="20"/>
      <c r="F17" s="20"/>
      <c r="G17" s="21"/>
      <c r="H17" s="22"/>
      <c r="I17" s="23"/>
    </row>
    <row r="18" spans="2:9" ht="30" x14ac:dyDescent="0.3">
      <c r="B18" s="24"/>
      <c r="C18" s="18"/>
      <c r="D18" s="19"/>
      <c r="E18" s="20"/>
      <c r="F18" s="20"/>
      <c r="G18" s="21"/>
      <c r="H18" s="22"/>
      <c r="I18" s="23"/>
    </row>
    <row r="19" spans="2:9" ht="30" x14ac:dyDescent="0.3">
      <c r="B19" s="24"/>
      <c r="C19" s="18"/>
      <c r="D19" s="19"/>
      <c r="E19" s="20"/>
      <c r="F19" s="20"/>
      <c r="G19" s="21"/>
      <c r="H19" s="22"/>
      <c r="I19" s="23"/>
    </row>
    <row r="20" spans="2:9" ht="30" x14ac:dyDescent="0.3">
      <c r="B20" s="24"/>
      <c r="C20" s="18"/>
      <c r="D20" s="19"/>
      <c r="E20" s="20"/>
      <c r="F20" s="20"/>
      <c r="G20" s="21"/>
      <c r="H20" s="22"/>
      <c r="I20" s="23"/>
    </row>
    <row r="21" spans="2:9" ht="30" x14ac:dyDescent="0.3">
      <c r="B21" s="24"/>
      <c r="C21" s="18"/>
      <c r="D21" s="19"/>
      <c r="E21" s="20"/>
      <c r="F21" s="20"/>
      <c r="G21" s="21"/>
      <c r="H21" s="22"/>
      <c r="I21" s="23"/>
    </row>
    <row r="22" spans="2:9" ht="30" x14ac:dyDescent="0.3">
      <c r="B22" s="24"/>
      <c r="C22" s="18"/>
      <c r="D22" s="19"/>
      <c r="E22" s="20"/>
      <c r="F22" s="20"/>
      <c r="G22" s="21"/>
      <c r="H22" s="22"/>
      <c r="I22" s="23"/>
    </row>
    <row r="23" spans="2:9" ht="30" x14ac:dyDescent="0.3">
      <c r="B23" s="24"/>
      <c r="C23" s="18"/>
      <c r="D23" s="19"/>
      <c r="E23" s="20"/>
      <c r="F23" s="20"/>
      <c r="G23" s="21"/>
      <c r="H23" s="22"/>
      <c r="I23" s="23"/>
    </row>
    <row r="24" spans="2:9" ht="30" x14ac:dyDescent="0.3">
      <c r="B24" s="24"/>
      <c r="C24" s="18"/>
      <c r="D24" s="19"/>
      <c r="E24" s="20"/>
      <c r="F24" s="20"/>
      <c r="G24" s="21"/>
      <c r="H24" s="22"/>
      <c r="I24" s="23"/>
    </row>
  </sheetData>
  <mergeCells count="2">
    <mergeCell ref="B6:B7"/>
    <mergeCell ref="B3:B4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Guia</vt:lpstr>
      <vt:lpstr>Base</vt:lpstr>
      <vt:lpstr>Plano-Inicio-em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2022-07-04T16:02:37Z</dcterms:created>
  <dcterms:modified xsi:type="dcterms:W3CDTF">2022-10-16T22:53:49Z</dcterms:modified>
</cp:coreProperties>
</file>